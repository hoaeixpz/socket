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<sst xmlns="http://schemas.openxmlformats.org/spreadsheetml/2006/main" count="28" uniqueCount="16">
  <si>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</si>
  <si>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</si>
  <si>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</si>
  <si>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</si>
  <si>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</si>
  <si>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</si>
  <si>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</si>
  <si>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</si>
  <si>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</si>
  <si>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</si>
  <si>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</si>
  <si>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</si>
  <si>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当年收益</t>
  </si>
  <si>
    <t>月度累计收益</t>
  </si>
  <si>
    <t>亏损月份数</t>
  </si>
  <si>
    <t>盈利&gt;10%月份数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</si>
</sst>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2">
    <font>
      <sz val="11"/>
      <color theme="1"/>
      <name val="宋体"/>
      <charset val="134"/>
      <scheme val="minor"/>
    </font>
    <font>
      <sz val="10.5"/>
      <color rgb="FF222222"/>
      <name val="Verdana"/>
      <charset val="134"/>
    </font>
    <font>
      <sz val="10.5"/>
      <color rgb="FF363636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E8ECF0"/>
      </top>
      <bottom/>
      <diagonal/>
    </border>
    <border>
      <left/>
      <right/>
      <top style="medium">
        <color rgb="FFBDCDE1"/>
      </top>
      <bottom style="medium">
        <color rgb="FFBDCD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" fontId="1" fillId="2" borderId="1" xfId="0" applyNumberFormat="1" applyFont="1" applyFill="1" applyBorder="1" applyAlignment="1">
      <alignment horizontal="center" vertical="center" wrapText="1"/>
    </xf>
    <xf numFmtId="176" fontId="0" fillId="3" borderId="0" xfId="0" applyNumberFormat="1" applyFill="1">
      <alignment vertical="center"/>
    </xf>
    <xf numFmtId="176" fontId="0" fillId="0" borderId="0" xfId="0" applyNumberFormat="1">
      <alignment vertical="center"/>
    </xf>
    <xf numFmtId="176" fontId="0" fillId="4" borderId="0" xfId="0" applyNumberFormat="1" applyFill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theme="6" tint="0.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5" tint="0.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193"/>
  <sheetViews>
    <sheetView zoomScale="115" zoomScaleNormal="115" workbookViewId="0">
      <selection activeCell="D23" sqref="D23"/>
    </sheetView>
  </sheetViews>
  <sheetFormatPr defaultColWidth="9" defaultRowHeight="14"/>
  <cols>
    <col min="2" max="3" width="10"/>
  </cols>
  <sheetData>
    <row r="2" ht="14.75" spans="1:22">
      <c r="A2" s="1">
        <v>40179</v>
      </c>
      <c r="B2" s="8">
        <v>0</v>
      </c>
      <c r="C2">
        <f ca="1">OFFSET($B$2,(COLUMN(C2)-3)*12+ROW(C2)-2,0)</f>
        <v>0</v>
      </c>
      <c r="D2">
        <f ca="1" t="shared" ref="D2:P2" si="0">OFFSET($B$2,(COLUMN(D2)-3)*12+ROW(D2)-2,0)</f>
        <v>-0.0016</v>
      </c>
      <c r="E2">
        <f ca="1" t="shared" si="0"/>
        <v>0.0301</v>
      </c>
      <c r="F2">
        <f ca="1" t="shared" si="0"/>
        <v>0.0057</v>
      </c>
      <c r="G2">
        <f ca="1" t="shared" si="0"/>
        <v>-0.0057</v>
      </c>
      <c r="H2">
        <f ca="1" t="shared" si="0"/>
        <v>0.0227</v>
      </c>
      <c r="I2">
        <f ca="1" t="shared" si="0"/>
        <v>-0.0084</v>
      </c>
      <c r="J2">
        <f ca="1" t="shared" si="0"/>
        <v>0.0177</v>
      </c>
      <c r="K2">
        <f ca="1" t="shared" si="0"/>
        <v>0.0243</v>
      </c>
      <c r="L2">
        <f ca="1" t="shared" si="0"/>
        <v>0.0143</v>
      </c>
      <c r="M2">
        <f ca="1" t="shared" si="0"/>
        <v>0.0099</v>
      </c>
      <c r="N2">
        <f ca="1" t="shared" si="0"/>
        <v>0.0077</v>
      </c>
      <c r="O2">
        <f ca="1" t="shared" si="0"/>
        <v>-0.0016</v>
      </c>
      <c r="P2">
        <f ca="1" t="shared" si="0"/>
        <v>0.0148</v>
      </c>
      <c r="Q2">
        <f ca="1" t="shared" ref="Q2:V2" si="1">OFFSET($B$2,(COLUMN(Q2)-3)*12+ROW(Q2)-2,0)</f>
        <v>0.0587</v>
      </c>
      <c r="R2">
        <f ca="1" t="shared" si="1"/>
        <v>-0.0074</v>
      </c>
      <c r="U2">
        <f ca="1" t="shared" si="1"/>
        <v>0</v>
      </c>
      <c r="V2">
        <f ca="1" t="shared" si="1"/>
        <v>0</v>
      </c>
    </row>
    <row r="3" ht="14.75" spans="1:22">
      <c r="A3" s="1">
        <v>40210</v>
      </c>
      <c r="B3" s="8">
        <v>0.0651</v>
      </c>
      <c r="C3">
        <f ca="1" t="shared" ref="C3:C13" si="2">OFFSET($B$2,(COLUMN(C3)-3)*12+ROW(C3)-2,0)</f>
        <v>0.0651</v>
      </c>
      <c r="D3">
        <f ca="1" t="shared" ref="D3:P3" si="3">OFFSET($B$2,(COLUMN(D3)-3)*12+ROW(D3)-2,0)</f>
        <v>0.1456</v>
      </c>
      <c r="E3">
        <f ca="1" t="shared" si="3"/>
        <v>0.0984</v>
      </c>
      <c r="F3">
        <f ca="1" t="shared" si="3"/>
        <v>0.0547</v>
      </c>
      <c r="G3">
        <f ca="1" t="shared" si="3"/>
        <v>0.0822</v>
      </c>
      <c r="H3">
        <f ca="1" t="shared" si="3"/>
        <v>0.0675</v>
      </c>
      <c r="I3">
        <f ca="1" t="shared" si="3"/>
        <v>0.0011</v>
      </c>
      <c r="J3">
        <f ca="1" t="shared" si="3"/>
        <v>0.0514</v>
      </c>
      <c r="K3">
        <f ca="1" t="shared" si="3"/>
        <v>0.0119</v>
      </c>
      <c r="L3">
        <f ca="1" t="shared" si="3"/>
        <v>0.1369</v>
      </c>
      <c r="M3">
        <f ca="1" t="shared" si="3"/>
        <v>0.0369</v>
      </c>
      <c r="N3">
        <f ca="1" t="shared" si="3"/>
        <v>0.1271</v>
      </c>
      <c r="O3">
        <f ca="1" t="shared" si="3"/>
        <v>0.0797</v>
      </c>
      <c r="P3">
        <f ca="1" t="shared" si="3"/>
        <v>0.0113</v>
      </c>
      <c r="Q3">
        <f ca="1" t="shared" ref="Q3:V3" si="4">OFFSET($B$2,(COLUMN(Q3)-3)*12+ROW(Q3)-2,0)</f>
        <v>0.1895</v>
      </c>
      <c r="R3">
        <f ca="1" t="shared" si="4"/>
        <v>0.2489</v>
      </c>
      <c r="U3">
        <f ca="1" t="shared" si="4"/>
        <v>0</v>
      </c>
      <c r="V3">
        <f ca="1" t="shared" si="4"/>
        <v>0</v>
      </c>
    </row>
    <row r="4" ht="14.75" spans="1:22">
      <c r="A4" s="1">
        <v>40238</v>
      </c>
      <c r="B4" s="8">
        <v>0.0813</v>
      </c>
      <c r="C4">
        <f ca="1" t="shared" si="2"/>
        <v>0.0813</v>
      </c>
      <c r="D4">
        <f ca="1" t="shared" ref="D4:P4" si="5">OFFSET($B$2,(COLUMN(D4)-3)*12+ROW(D4)-2,0)</f>
        <v>0.0526</v>
      </c>
      <c r="E4">
        <f ca="1" t="shared" si="5"/>
        <v>-0.065</v>
      </c>
      <c r="F4">
        <f ca="1" t="shared" si="5"/>
        <v>-0.0189</v>
      </c>
      <c r="G4">
        <f ca="1" t="shared" si="5"/>
        <v>0.0133</v>
      </c>
      <c r="H4">
        <f ca="1" t="shared" si="5"/>
        <v>0.2462</v>
      </c>
      <c r="I4">
        <f ca="1" t="shared" si="5"/>
        <v>0.4005</v>
      </c>
      <c r="J4">
        <f ca="1" t="shared" si="5"/>
        <v>-0.0782</v>
      </c>
      <c r="K4">
        <f ca="1" t="shared" si="5"/>
        <v>0.1099</v>
      </c>
      <c r="L4">
        <f ca="1" t="shared" si="5"/>
        <v>0.1862</v>
      </c>
      <c r="M4">
        <f ca="1" t="shared" si="5"/>
        <v>0.0595</v>
      </c>
      <c r="N4">
        <f ca="1" t="shared" si="5"/>
        <v>0.1564</v>
      </c>
      <c r="O4">
        <f ca="1" t="shared" si="5"/>
        <v>0.0547</v>
      </c>
      <c r="P4">
        <f ca="1" t="shared" si="5"/>
        <v>-0.0182</v>
      </c>
      <c r="Q4">
        <f ca="1" t="shared" ref="Q4:V4" si="6">OFFSET($B$2,(COLUMN(Q4)-3)*12+ROW(Q4)-2,0)</f>
        <v>0.2207</v>
      </c>
      <c r="R4">
        <f ca="1" t="shared" si="6"/>
        <v>-0.0711</v>
      </c>
      <c r="U4">
        <f ca="1" t="shared" si="6"/>
        <v>0</v>
      </c>
      <c r="V4">
        <f ca="1" t="shared" si="6"/>
        <v>0</v>
      </c>
    </row>
    <row r="5" ht="14.75" spans="1:22">
      <c r="A5" s="1">
        <v>40269</v>
      </c>
      <c r="B5" s="8">
        <v>0.0008</v>
      </c>
      <c r="C5">
        <f ca="1" t="shared" si="2"/>
        <v>0.0008</v>
      </c>
      <c r="D5">
        <f ca="1" t="shared" ref="D5:P5" si="7">OFFSET($B$2,(COLUMN(D5)-3)*12+ROW(D5)-2,0)</f>
        <v>-0.0008</v>
      </c>
      <c r="E5">
        <f ca="1" t="shared" si="7"/>
        <v>0.0104</v>
      </c>
      <c r="F5">
        <f ca="1" t="shared" si="7"/>
        <v>-0.0003</v>
      </c>
      <c r="G5">
        <f ca="1" t="shared" si="7"/>
        <v>0.0346</v>
      </c>
      <c r="H5">
        <f ca="1" t="shared" si="7"/>
        <v>0.079</v>
      </c>
      <c r="I5">
        <f ca="1" t="shared" si="7"/>
        <v>0.0084</v>
      </c>
      <c r="J5">
        <f ca="1" t="shared" si="7"/>
        <v>0.0085</v>
      </c>
      <c r="K5">
        <f ca="1" t="shared" si="7"/>
        <v>0.0021</v>
      </c>
      <c r="L5">
        <f ca="1" t="shared" si="7"/>
        <v>0.0276</v>
      </c>
      <c r="M5">
        <f ca="1" t="shared" si="7"/>
        <v>0.0314</v>
      </c>
      <c r="N5">
        <f ca="1" t="shared" si="7"/>
        <v>-0.0061</v>
      </c>
      <c r="O5">
        <f ca="1" t="shared" si="7"/>
        <v>-0.0187</v>
      </c>
      <c r="P5">
        <f ca="1" t="shared" si="7"/>
        <v>0.0234</v>
      </c>
      <c r="Q5">
        <f ca="1" t="shared" ref="Q5:V5" si="8">OFFSET($B$2,(COLUMN(Q5)-3)*12+ROW(Q5)-2,0)</f>
        <v>0.0343</v>
      </c>
      <c r="R5">
        <f ca="1" t="shared" si="8"/>
        <v>0.0526</v>
      </c>
      <c r="U5">
        <f ca="1" t="shared" si="8"/>
        <v>0</v>
      </c>
      <c r="V5">
        <f ca="1" t="shared" si="8"/>
        <v>0</v>
      </c>
    </row>
    <row r="6" ht="14.75" spans="1:22">
      <c r="A6" s="1">
        <v>40299</v>
      </c>
      <c r="B6" s="8">
        <v>-0.0608</v>
      </c>
      <c r="C6">
        <f ca="1" t="shared" si="2"/>
        <v>-0.0608</v>
      </c>
      <c r="D6">
        <f ca="1" t="shared" ref="D6:P6" si="9">OFFSET($B$2,(COLUMN(D6)-3)*12+ROW(D6)-2,0)</f>
        <v>-0.0644</v>
      </c>
      <c r="E6">
        <f ca="1" t="shared" si="9"/>
        <v>0.0008</v>
      </c>
      <c r="F6">
        <f ca="1" t="shared" si="9"/>
        <v>0.1792</v>
      </c>
      <c r="G6">
        <f ca="1" t="shared" si="9"/>
        <v>0.0267</v>
      </c>
      <c r="H6">
        <f ca="1" t="shared" si="9"/>
        <v>0.415</v>
      </c>
      <c r="I6">
        <f ca="1" t="shared" si="9"/>
        <v>-0.0213</v>
      </c>
      <c r="J6">
        <f ca="1" t="shared" si="9"/>
        <v>-0.0614</v>
      </c>
      <c r="K6">
        <f ca="1" t="shared" si="9"/>
        <v>0.0257</v>
      </c>
      <c r="L6">
        <f ca="1" t="shared" si="9"/>
        <v>0.0582</v>
      </c>
      <c r="M6">
        <f ca="1" t="shared" si="9"/>
        <v>0.0684</v>
      </c>
      <c r="N6">
        <f ca="1" t="shared" si="9"/>
        <v>0.0562</v>
      </c>
      <c r="O6">
        <f ca="1" t="shared" si="9"/>
        <v>0.2725</v>
      </c>
      <c r="P6">
        <f ca="1" t="shared" si="9"/>
        <v>0.0327</v>
      </c>
      <c r="Q6">
        <f ca="1" t="shared" ref="Q6:V6" si="10">OFFSET($B$2,(COLUMN(Q6)-3)*12+ROW(Q6)-2,0)</f>
        <v>-0.0156</v>
      </c>
      <c r="R6">
        <f ca="1" t="shared" si="10"/>
        <v>0.0431</v>
      </c>
      <c r="U6">
        <f ca="1" t="shared" si="10"/>
        <v>0</v>
      </c>
      <c r="V6">
        <f ca="1" t="shared" si="10"/>
        <v>0</v>
      </c>
    </row>
    <row r="7" ht="14.75" spans="1:22">
      <c r="A7" s="1">
        <v>40330</v>
      </c>
      <c r="B7" s="8">
        <v>-0.073</v>
      </c>
      <c r="C7">
        <f ca="1" t="shared" si="2"/>
        <v>-0.073</v>
      </c>
      <c r="D7">
        <f ca="1" t="shared" ref="D7:P7" si="11">OFFSET($B$2,(COLUMN(D7)-3)*12+ROW(D7)-2,0)</f>
        <v>0.0828</v>
      </c>
      <c r="E7">
        <f ca="1" t="shared" si="11"/>
        <v>-0.0436</v>
      </c>
      <c r="F7">
        <f ca="1" t="shared" si="11"/>
        <v>-0.1098</v>
      </c>
      <c r="G7">
        <f ca="1" t="shared" si="11"/>
        <v>0.2214</v>
      </c>
      <c r="H7">
        <f ca="1" t="shared" si="11"/>
        <v>0.0212</v>
      </c>
      <c r="I7">
        <f ca="1" t="shared" si="11"/>
        <v>0.1059</v>
      </c>
      <c r="J7">
        <f ca="1" t="shared" si="11"/>
        <v>0.0901</v>
      </c>
      <c r="K7">
        <f ca="1" t="shared" si="11"/>
        <v>-0.0844</v>
      </c>
      <c r="L7">
        <f ca="1" t="shared" si="11"/>
        <v>0.0329</v>
      </c>
      <c r="M7">
        <f ca="1" t="shared" si="11"/>
        <v>0.0866</v>
      </c>
      <c r="N7">
        <f ca="1" t="shared" si="11"/>
        <v>0.0235</v>
      </c>
      <c r="O7">
        <f ca="1" t="shared" si="11"/>
        <v>0.1417</v>
      </c>
      <c r="P7">
        <f ca="1" t="shared" si="11"/>
        <v>0.047</v>
      </c>
      <c r="Q7">
        <f ca="1" t="shared" ref="Q7:V7" si="12">OFFSET($B$2,(COLUMN(Q7)-3)*12+ROW(Q7)-2,0)</f>
        <v>-0.1354</v>
      </c>
      <c r="R7">
        <f ca="1" t="shared" si="12"/>
        <v>0.1423</v>
      </c>
      <c r="U7">
        <f ca="1" t="shared" si="12"/>
        <v>0</v>
      </c>
      <c r="V7">
        <f ca="1" t="shared" si="12"/>
        <v>0</v>
      </c>
    </row>
    <row r="8" ht="14.75" spans="1:22">
      <c r="A8" s="1">
        <v>40360</v>
      </c>
      <c r="B8" s="8">
        <v>0.1977</v>
      </c>
      <c r="C8">
        <f ca="1" t="shared" si="2"/>
        <v>0.1977</v>
      </c>
      <c r="D8">
        <f ca="1" t="shared" ref="D8:P8" si="13">OFFSET($B$2,(COLUMN(D8)-3)*12+ROW(D8)-2,0)</f>
        <v>-0.0211</v>
      </c>
      <c r="E8">
        <f ca="1" t="shared" si="13"/>
        <v>-0.1551</v>
      </c>
      <c r="F8">
        <f ca="1" t="shared" si="13"/>
        <v>0.1573</v>
      </c>
      <c r="G8">
        <f ca="1" t="shared" si="13"/>
        <v>0.1535</v>
      </c>
      <c r="H8">
        <f ca="1" t="shared" si="13"/>
        <v>0.3626</v>
      </c>
      <c r="I8">
        <f ca="1" t="shared" si="13"/>
        <v>0.0296</v>
      </c>
      <c r="J8">
        <f ca="1" t="shared" si="13"/>
        <v>-0.0132</v>
      </c>
      <c r="K8">
        <f ca="1" t="shared" si="13"/>
        <v>0.1728</v>
      </c>
      <c r="L8">
        <f ca="1" t="shared" si="13"/>
        <v>-0.0096</v>
      </c>
      <c r="M8">
        <f ca="1" t="shared" si="13"/>
        <v>0.0961</v>
      </c>
      <c r="N8">
        <f ca="1" t="shared" si="13"/>
        <v>-0.0538</v>
      </c>
      <c r="O8">
        <f ca="1" t="shared" si="13"/>
        <v>0.2166</v>
      </c>
      <c r="P8">
        <f ca="1" t="shared" si="13"/>
        <v>0.1586</v>
      </c>
      <c r="Q8">
        <f ca="1" t="shared" ref="Q8:V8" si="14">OFFSET($B$2,(COLUMN(Q8)-3)*12+ROW(Q8)-2,0)</f>
        <v>0.1169</v>
      </c>
      <c r="R8">
        <f ca="1" t="shared" si="14"/>
        <v>0.0876</v>
      </c>
      <c r="U8">
        <f ca="1" t="shared" si="14"/>
        <v>0</v>
      </c>
      <c r="V8">
        <f ca="1" t="shared" si="14"/>
        <v>0</v>
      </c>
    </row>
    <row r="9" ht="14.75" spans="1:22">
      <c r="A9" s="1">
        <v>40391</v>
      </c>
      <c r="B9" s="8">
        <v>0.1303</v>
      </c>
      <c r="C9">
        <f ca="1" t="shared" si="2"/>
        <v>0.1303</v>
      </c>
      <c r="D9">
        <f ca="1" t="shared" ref="D9:P9" si="15">OFFSET($B$2,(COLUMN(D9)-3)*12+ROW(D9)-2,0)</f>
        <v>-0.0006</v>
      </c>
      <c r="E9">
        <f ca="1" t="shared" si="15"/>
        <v>0.0543</v>
      </c>
      <c r="F9">
        <f ca="1" t="shared" si="15"/>
        <v>0.1024</v>
      </c>
      <c r="G9">
        <f ca="1" t="shared" si="15"/>
        <v>0.1294</v>
      </c>
      <c r="H9">
        <f ca="1" t="shared" si="15"/>
        <v>0.283</v>
      </c>
      <c r="I9">
        <f ca="1" t="shared" si="15"/>
        <v>0.0412</v>
      </c>
      <c r="J9">
        <f ca="1" t="shared" si="15"/>
        <v>0.1779</v>
      </c>
      <c r="K9">
        <f ca="1" t="shared" si="15"/>
        <v>-0.071</v>
      </c>
      <c r="L9">
        <f ca="1" t="shared" si="15"/>
        <v>-0.0119</v>
      </c>
      <c r="M9">
        <f ca="1" t="shared" si="15"/>
        <v>0.1462</v>
      </c>
      <c r="N9">
        <f ca="1" t="shared" si="15"/>
        <v>0.0861</v>
      </c>
      <c r="O9">
        <f ca="1" t="shared" si="15"/>
        <v>0.1873</v>
      </c>
      <c r="P9">
        <f ca="1" t="shared" si="15"/>
        <v>-0.021</v>
      </c>
      <c r="Q9">
        <f ca="1" t="shared" ref="Q9:V9" si="16">OFFSET($B$2,(COLUMN(Q9)-3)*12+ROW(Q9)-2,0)</f>
        <v>0.1481</v>
      </c>
      <c r="R9">
        <f ca="1" t="shared" si="16"/>
        <v>-0.0326</v>
      </c>
      <c r="U9">
        <f ca="1" t="shared" si="16"/>
        <v>0</v>
      </c>
      <c r="V9">
        <f ca="1" t="shared" si="16"/>
        <v>0</v>
      </c>
    </row>
    <row r="10" ht="14.75" spans="1:22">
      <c r="A10" s="1">
        <v>40422</v>
      </c>
      <c r="B10" s="8">
        <v>0.11</v>
      </c>
      <c r="C10">
        <f ca="1" t="shared" si="2"/>
        <v>0.11</v>
      </c>
      <c r="D10">
        <f ca="1" t="shared" ref="D10:P10" si="17">OFFSET($B$2,(COLUMN(D10)-3)*12+ROW(D10)-2,0)</f>
        <v>-0.0886</v>
      </c>
      <c r="E10">
        <f ca="1" t="shared" si="17"/>
        <v>0.019</v>
      </c>
      <c r="F10">
        <f ca="1" t="shared" si="17"/>
        <v>0.0868</v>
      </c>
      <c r="G10">
        <f ca="1" t="shared" si="17"/>
        <v>0.2618</v>
      </c>
      <c r="H10">
        <f ca="1" t="shared" si="17"/>
        <v>-0.0678</v>
      </c>
      <c r="I10">
        <f ca="1" t="shared" si="17"/>
        <v>0.0455</v>
      </c>
      <c r="J10">
        <f ca="1" t="shared" si="17"/>
        <v>0.0209</v>
      </c>
      <c r="K10">
        <f ca="1" t="shared" si="17"/>
        <v>0.0614</v>
      </c>
      <c r="L10">
        <f ca="1" t="shared" si="17"/>
        <v>0.0449</v>
      </c>
      <c r="M10">
        <f ca="1" t="shared" si="17"/>
        <v>-0.0312</v>
      </c>
      <c r="N10">
        <f ca="1" t="shared" si="17"/>
        <v>-0.0215</v>
      </c>
      <c r="O10">
        <f ca="1" t="shared" si="17"/>
        <v>0.0367</v>
      </c>
      <c r="P10">
        <f ca="1" t="shared" si="17"/>
        <v>0.024</v>
      </c>
      <c r="Q10">
        <f ca="1" t="shared" ref="Q10:V10" si="18">OFFSET($B$2,(COLUMN(Q10)-3)*12+ROW(Q10)-2,0)</f>
        <v>0.2549</v>
      </c>
      <c r="R10">
        <f ca="1" t="shared" si="18"/>
        <v>0.1218</v>
      </c>
      <c r="U10">
        <f ca="1" t="shared" si="18"/>
        <v>0</v>
      </c>
      <c r="V10">
        <f ca="1" t="shared" si="18"/>
        <v>0</v>
      </c>
    </row>
    <row r="11" ht="14.75" spans="1:22">
      <c r="A11" s="1">
        <v>40452</v>
      </c>
      <c r="B11" s="8">
        <v>0.1099</v>
      </c>
      <c r="C11">
        <f ca="1" t="shared" si="2"/>
        <v>0.1099</v>
      </c>
      <c r="D11">
        <f ca="1" t="shared" ref="D11:P11" si="19">OFFSET($B$2,(COLUMN(D11)-3)*12+ROW(D11)-2,0)</f>
        <v>0.0186</v>
      </c>
      <c r="E11">
        <f ca="1" t="shared" si="19"/>
        <v>0.0012</v>
      </c>
      <c r="F11">
        <f ca="1" t="shared" si="19"/>
        <v>-0.0176</v>
      </c>
      <c r="G11">
        <f ca="1" t="shared" si="19"/>
        <v>0.044</v>
      </c>
      <c r="H11">
        <f ca="1" t="shared" si="19"/>
        <v>0.2277</v>
      </c>
      <c r="I11">
        <f ca="1" t="shared" si="19"/>
        <v>0.0609</v>
      </c>
      <c r="J11">
        <f ca="1" t="shared" si="19"/>
        <v>-0.0084</v>
      </c>
      <c r="K11">
        <f ca="1" t="shared" si="19"/>
        <v>0.0711</v>
      </c>
      <c r="L11">
        <f ca="1" t="shared" si="19"/>
        <v>-0.0117</v>
      </c>
      <c r="M11">
        <f ca="1" t="shared" si="19"/>
        <v>0.0274</v>
      </c>
      <c r="N11">
        <f ca="1" t="shared" si="19"/>
        <v>-0.0512</v>
      </c>
      <c r="O11">
        <f ca="1" t="shared" si="19"/>
        <v>0.0711</v>
      </c>
      <c r="P11">
        <f ca="1" t="shared" si="19"/>
        <v>0.0474</v>
      </c>
      <c r="Q11">
        <f ca="1" t="shared" ref="Q11:V11" si="20">OFFSET($B$2,(COLUMN(Q11)-3)*12+ROW(Q11)-2,0)</f>
        <v>0.2231</v>
      </c>
      <c r="R11">
        <f ca="1" t="shared" si="20"/>
        <v>0.0044</v>
      </c>
      <c r="U11">
        <f ca="1" t="shared" si="20"/>
        <v>0</v>
      </c>
      <c r="V11">
        <f ca="1" t="shared" si="20"/>
        <v>0</v>
      </c>
    </row>
    <row r="12" ht="14.75" spans="1:22">
      <c r="A12" s="1">
        <v>40483</v>
      </c>
      <c r="B12" s="8">
        <v>0.0089</v>
      </c>
      <c r="C12">
        <f ca="1" t="shared" si="2"/>
        <v>0.0089</v>
      </c>
      <c r="D12">
        <f ca="1" t="shared" ref="D12:P12" si="21">OFFSET($B$2,(COLUMN(D12)-3)*12+ROW(D12)-2,0)</f>
        <v>-0.0239</v>
      </c>
      <c r="E12">
        <f ca="1" t="shared" si="21"/>
        <v>-0.0975</v>
      </c>
      <c r="F12">
        <f ca="1" t="shared" si="21"/>
        <v>0.1627</v>
      </c>
      <c r="G12">
        <f ca="1" t="shared" si="21"/>
        <v>0.0477</v>
      </c>
      <c r="H12">
        <f ca="1" t="shared" si="21"/>
        <v>0.3277</v>
      </c>
      <c r="I12">
        <f ca="1" t="shared" si="21"/>
        <v>0.0377</v>
      </c>
      <c r="J12">
        <f ca="1" t="shared" si="21"/>
        <v>-0.0635</v>
      </c>
      <c r="K12">
        <f ca="1" t="shared" si="21"/>
        <v>0.1498</v>
      </c>
      <c r="L12">
        <f ca="1" t="shared" si="21"/>
        <v>-0.0051</v>
      </c>
      <c r="M12">
        <f ca="1" t="shared" si="21"/>
        <v>0.0181</v>
      </c>
      <c r="N12">
        <f ca="1" t="shared" si="21"/>
        <v>0.1091</v>
      </c>
      <c r="O12">
        <f ca="1" t="shared" si="21"/>
        <v>0.1051</v>
      </c>
      <c r="P12">
        <f ca="1" t="shared" si="21"/>
        <v>0.1049</v>
      </c>
      <c r="Q12">
        <f ca="1" t="shared" ref="Q12:V12" si="22">OFFSET($B$2,(COLUMN(Q12)-3)*12+ROW(Q12)-2,0)</f>
        <v>0.1335</v>
      </c>
      <c r="R12">
        <f ca="1" t="shared" si="22"/>
        <v>0.0793</v>
      </c>
      <c r="U12">
        <f ca="1" t="shared" si="22"/>
        <v>0</v>
      </c>
      <c r="V12">
        <f ca="1" t="shared" si="22"/>
        <v>0</v>
      </c>
    </row>
    <row r="13" ht="14.75" spans="1:22">
      <c r="A13" s="1">
        <v>40513</v>
      </c>
      <c r="B13" s="8">
        <v>-0.0207</v>
      </c>
      <c r="C13">
        <f ca="1" t="shared" si="2"/>
        <v>-0.0207</v>
      </c>
      <c r="D13">
        <f ca="1" t="shared" ref="D13:P13" si="23">OFFSET($B$2,(COLUMN(D13)-3)*12+ROW(D13)-2,0)</f>
        <v>-0.1536</v>
      </c>
      <c r="E13">
        <f ca="1" t="shared" si="23"/>
        <v>0.2375</v>
      </c>
      <c r="F13">
        <f ca="1" t="shared" si="23"/>
        <v>0.0207</v>
      </c>
      <c r="G13">
        <f ca="1" t="shared" si="23"/>
        <v>-0.1353</v>
      </c>
      <c r="H13">
        <f ca="1" t="shared" si="23"/>
        <v>0.2392</v>
      </c>
      <c r="I13">
        <f ca="1" t="shared" si="23"/>
        <v>0.12</v>
      </c>
      <c r="J13">
        <f ca="1" t="shared" si="23"/>
        <v>-0.0392</v>
      </c>
      <c r="K13">
        <f ca="1" t="shared" si="23"/>
        <v>-0.0448</v>
      </c>
      <c r="L13">
        <f ca="1" t="shared" si="23"/>
        <v>0.1302</v>
      </c>
      <c r="M13">
        <f ca="1" t="shared" si="23"/>
        <v>-0.112</v>
      </c>
      <c r="N13">
        <f ca="1" t="shared" si="23"/>
        <v>0.1123</v>
      </c>
      <c r="O13">
        <f ca="1" t="shared" si="23"/>
        <v>0.0431</v>
      </c>
      <c r="P13">
        <f ca="1" t="shared" si="23"/>
        <v>-0.0024</v>
      </c>
      <c r="Q13">
        <f ca="1" t="shared" ref="Q13:V13" si="24">OFFSET($B$2,(COLUMN(Q13)-3)*12+ROW(Q13)-2,0)</f>
        <v>0.0415</v>
      </c>
      <c r="R13">
        <f ca="1" t="shared" si="24"/>
        <v>-0.0685</v>
      </c>
      <c r="U13">
        <f ca="1" t="shared" si="24"/>
        <v>0</v>
      </c>
      <c r="V13">
        <f ca="1" t="shared" si="24"/>
        <v>0</v>
      </c>
    </row>
    <row r="14" ht="14.75" spans="1:4">
      <c r="A14" s="1">
        <v>40544</v>
      </c>
      <c r="B14" s="8">
        <v>-0.0016</v>
      </c>
      <c r="C14" s="8"/>
      <c r="D14" s="8"/>
    </row>
    <row r="15" ht="14.75" spans="1:4">
      <c r="A15" s="1">
        <v>40575</v>
      </c>
      <c r="B15" s="8">
        <v>0.1456</v>
      </c>
      <c r="C15" s="8"/>
      <c r="D15" s="8"/>
    </row>
    <row r="16" ht="14.75" spans="1:4">
      <c r="A16" s="1">
        <v>40603</v>
      </c>
      <c r="B16" s="8">
        <v>0.0526</v>
      </c>
      <c r="C16" s="8"/>
      <c r="D16" s="8"/>
    </row>
    <row r="17" ht="14.75" spans="1:4">
      <c r="A17" s="1">
        <v>40634</v>
      </c>
      <c r="B17" s="8">
        <v>-0.0008</v>
      </c>
      <c r="C17" s="8"/>
      <c r="D17" s="8"/>
    </row>
    <row r="18" ht="14.75" spans="1:4">
      <c r="A18" s="1">
        <v>40664</v>
      </c>
      <c r="B18" s="8">
        <v>-0.0644</v>
      </c>
      <c r="C18" s="8"/>
      <c r="D18" s="8"/>
    </row>
    <row r="19" ht="14.75" spans="1:4">
      <c r="A19" s="1">
        <v>40695</v>
      </c>
      <c r="B19" s="8">
        <v>0.0828</v>
      </c>
      <c r="C19" s="8"/>
      <c r="D19" s="8"/>
    </row>
    <row r="20" ht="14.75" spans="1:4">
      <c r="A20" s="1">
        <v>40725</v>
      </c>
      <c r="B20" s="8">
        <v>-0.0211</v>
      </c>
      <c r="C20" s="8"/>
      <c r="D20" s="8"/>
    </row>
    <row r="21" ht="14.75" spans="1:4">
      <c r="A21" s="1">
        <v>40756</v>
      </c>
      <c r="B21" s="8">
        <v>-0.0006</v>
      </c>
      <c r="C21" s="8"/>
      <c r="D21" s="8"/>
    </row>
    <row r="22" ht="14.75" spans="1:4">
      <c r="A22" s="1">
        <v>40787</v>
      </c>
      <c r="B22" s="8">
        <v>-0.0886</v>
      </c>
      <c r="C22" s="8"/>
      <c r="D22" s="8"/>
    </row>
    <row r="23" ht="14.75" spans="1:4">
      <c r="A23" s="1">
        <v>40817</v>
      </c>
      <c r="B23" s="8">
        <v>0.0186</v>
      </c>
      <c r="C23" s="8"/>
      <c r="D23" s="8"/>
    </row>
    <row r="24" ht="14.75" spans="1:4">
      <c r="A24" s="1">
        <v>40848</v>
      </c>
      <c r="B24" s="8">
        <v>-0.0239</v>
      </c>
      <c r="C24" s="8"/>
      <c r="D24" s="8"/>
    </row>
    <row r="25" ht="14.75" spans="1:4">
      <c r="A25" s="1">
        <v>40878</v>
      </c>
      <c r="B25" s="8">
        <v>-0.1536</v>
      </c>
      <c r="C25" s="8"/>
      <c r="D25" s="8"/>
    </row>
    <row r="26" ht="14.75" spans="1:4">
      <c r="A26" s="1">
        <v>40909</v>
      </c>
      <c r="B26" s="8">
        <v>0.0301</v>
      </c>
      <c r="C26" s="8"/>
      <c r="D26" s="8"/>
    </row>
    <row r="27" ht="14.75" spans="1:4">
      <c r="A27" s="1">
        <v>40940</v>
      </c>
      <c r="B27" s="8">
        <v>0.0984</v>
      </c>
      <c r="C27" s="8"/>
      <c r="D27" s="8"/>
    </row>
    <row r="28" ht="14.75" spans="1:4">
      <c r="A28" s="1">
        <v>40969</v>
      </c>
      <c r="B28" s="8">
        <v>-0.065</v>
      </c>
      <c r="C28" s="8"/>
      <c r="D28" s="8"/>
    </row>
    <row r="29" ht="14.75" spans="1:4">
      <c r="A29" s="1">
        <v>41000</v>
      </c>
      <c r="B29" s="8">
        <v>0.0104</v>
      </c>
      <c r="C29" s="8"/>
      <c r="D29" s="8"/>
    </row>
    <row r="30" ht="14.75" spans="1:4">
      <c r="A30" s="1">
        <v>41030</v>
      </c>
      <c r="B30" s="8">
        <v>0.0008</v>
      </c>
      <c r="C30" s="8"/>
      <c r="D30" s="8"/>
    </row>
    <row r="31" ht="14.75" spans="1:4">
      <c r="A31" s="1">
        <v>41061</v>
      </c>
      <c r="B31" s="8">
        <v>-0.0436</v>
      </c>
      <c r="C31" s="8"/>
      <c r="D31" s="8"/>
    </row>
    <row r="32" ht="14.75" spans="1:4">
      <c r="A32" s="1">
        <v>41091</v>
      </c>
      <c r="B32" s="8">
        <v>-0.1551</v>
      </c>
      <c r="C32" s="8"/>
      <c r="D32" s="8"/>
    </row>
    <row r="33" ht="14.75" spans="1:4">
      <c r="A33" s="1">
        <v>41122</v>
      </c>
      <c r="B33" s="8">
        <v>0.0543</v>
      </c>
      <c r="C33" s="8"/>
      <c r="D33" s="8"/>
    </row>
    <row r="34" ht="14.75" spans="1:4">
      <c r="A34" s="1">
        <v>41153</v>
      </c>
      <c r="B34" s="8">
        <v>0.019</v>
      </c>
      <c r="C34" s="8"/>
      <c r="D34" s="8"/>
    </row>
    <row r="35" ht="14.75" spans="1:4">
      <c r="A35" s="1">
        <v>41183</v>
      </c>
      <c r="B35" s="8">
        <v>0.0012</v>
      </c>
      <c r="C35" s="8"/>
      <c r="D35" s="8"/>
    </row>
    <row r="36" ht="14.75" spans="1:4">
      <c r="A36" s="1">
        <v>41214</v>
      </c>
      <c r="B36" s="8">
        <v>-0.0975</v>
      </c>
      <c r="C36" s="8"/>
      <c r="D36" s="8"/>
    </row>
    <row r="37" ht="14.75" spans="1:4">
      <c r="A37" s="1">
        <v>41244</v>
      </c>
      <c r="B37" s="8">
        <v>0.2375</v>
      </c>
      <c r="C37" s="8"/>
      <c r="D37" s="8"/>
    </row>
    <row r="38" ht="14.75" spans="1:4">
      <c r="A38" s="1">
        <v>41275</v>
      </c>
      <c r="B38" s="8">
        <v>0.0057</v>
      </c>
      <c r="C38" s="8"/>
      <c r="D38" s="8"/>
    </row>
    <row r="39" ht="14.75" spans="1:4">
      <c r="A39" s="1">
        <v>41306</v>
      </c>
      <c r="B39" s="8">
        <v>0.0547</v>
      </c>
      <c r="C39" s="8"/>
      <c r="D39" s="8"/>
    </row>
    <row r="40" ht="14.75" spans="1:4">
      <c r="A40" s="1">
        <v>41334</v>
      </c>
      <c r="B40" s="8">
        <v>-0.0189</v>
      </c>
      <c r="C40" s="8"/>
      <c r="D40" s="8"/>
    </row>
    <row r="41" ht="14.75" spans="1:4">
      <c r="A41" s="1">
        <v>41365</v>
      </c>
      <c r="B41" s="8">
        <v>-0.0003</v>
      </c>
      <c r="C41" s="8"/>
      <c r="D41" s="8"/>
    </row>
    <row r="42" ht="14.75" spans="1:4">
      <c r="A42" s="1">
        <v>41395</v>
      </c>
      <c r="B42" s="8">
        <v>0.1792</v>
      </c>
      <c r="C42" s="8"/>
      <c r="D42" s="8"/>
    </row>
    <row r="43" ht="14.75" spans="1:4">
      <c r="A43" s="1">
        <v>41426</v>
      </c>
      <c r="B43" s="8">
        <v>-0.1098</v>
      </c>
      <c r="C43" s="8"/>
      <c r="D43" s="8"/>
    </row>
    <row r="44" ht="14.75" spans="1:4">
      <c r="A44" s="1">
        <v>41456</v>
      </c>
      <c r="B44" s="8">
        <v>0.1573</v>
      </c>
      <c r="C44" s="8"/>
      <c r="D44" s="8"/>
    </row>
    <row r="45" ht="14.75" spans="1:4">
      <c r="A45" s="1">
        <v>41487</v>
      </c>
      <c r="B45" s="8">
        <v>0.1024</v>
      </c>
      <c r="C45" s="8"/>
      <c r="D45" s="8"/>
    </row>
    <row r="46" ht="14.75" spans="1:4">
      <c r="A46" s="1">
        <v>41518</v>
      </c>
      <c r="B46" s="8">
        <v>0.0868</v>
      </c>
      <c r="C46" s="8"/>
      <c r="D46" s="8"/>
    </row>
    <row r="47" ht="14.75" spans="1:4">
      <c r="A47" s="1">
        <v>41548</v>
      </c>
      <c r="B47" s="8">
        <v>-0.0176</v>
      </c>
      <c r="C47" s="8"/>
      <c r="D47" s="8"/>
    </row>
    <row r="48" ht="14.75" spans="1:4">
      <c r="A48" s="1">
        <v>41579</v>
      </c>
      <c r="B48" s="8">
        <v>0.1627</v>
      </c>
      <c r="C48" s="8"/>
      <c r="D48" s="8"/>
    </row>
    <row r="49" ht="14.75" spans="1:4">
      <c r="A49" s="1">
        <v>41609</v>
      </c>
      <c r="B49" s="8">
        <v>0.0207</v>
      </c>
      <c r="C49" s="8"/>
      <c r="D49" s="8"/>
    </row>
    <row r="50" ht="14.75" spans="1:4">
      <c r="A50" s="1">
        <v>41640</v>
      </c>
      <c r="B50" s="8">
        <v>-0.0057</v>
      </c>
      <c r="C50" s="8"/>
      <c r="D50" s="8"/>
    </row>
    <row r="51" ht="14.75" spans="1:4">
      <c r="A51" s="1">
        <v>41671</v>
      </c>
      <c r="B51" s="8">
        <v>0.0822</v>
      </c>
      <c r="C51" s="8"/>
      <c r="D51" s="8"/>
    </row>
    <row r="52" ht="14.75" spans="1:4">
      <c r="A52" s="1">
        <v>41699</v>
      </c>
      <c r="B52" s="8">
        <v>0.0133</v>
      </c>
      <c r="C52" s="8"/>
      <c r="D52" s="8"/>
    </row>
    <row r="53" ht="14.75" spans="1:4">
      <c r="A53" s="1">
        <v>41730</v>
      </c>
      <c r="B53" s="8">
        <v>0.0346</v>
      </c>
      <c r="C53" s="8"/>
      <c r="D53" s="8"/>
    </row>
    <row r="54" ht="14.75" spans="1:4">
      <c r="A54" s="1">
        <v>41760</v>
      </c>
      <c r="B54" s="8">
        <v>0.0267</v>
      </c>
      <c r="C54" s="8"/>
      <c r="D54" s="8"/>
    </row>
    <row r="55" ht="14.75" spans="1:4">
      <c r="A55" s="1">
        <v>41791</v>
      </c>
      <c r="B55" s="8">
        <v>0.2214</v>
      </c>
      <c r="C55" s="8"/>
      <c r="D55" s="8"/>
    </row>
    <row r="56" ht="14.75" spans="1:4">
      <c r="A56" s="1">
        <v>41821</v>
      </c>
      <c r="B56" s="8">
        <v>0.1535</v>
      </c>
      <c r="C56" s="8"/>
      <c r="D56" s="8"/>
    </row>
    <row r="57" ht="14.75" spans="1:4">
      <c r="A57" s="1">
        <v>41852</v>
      </c>
      <c r="B57" s="8">
        <v>0.1294</v>
      </c>
      <c r="C57" s="8"/>
      <c r="D57" s="8"/>
    </row>
    <row r="58" ht="14.75" spans="1:4">
      <c r="A58" s="1">
        <v>41883</v>
      </c>
      <c r="B58" s="8">
        <v>0.2618</v>
      </c>
      <c r="C58" s="8"/>
      <c r="D58" s="8"/>
    </row>
    <row r="59" ht="14.75" spans="1:4">
      <c r="A59" s="1">
        <v>41913</v>
      </c>
      <c r="B59" s="8">
        <v>0.044</v>
      </c>
      <c r="C59" s="8"/>
      <c r="D59" s="8"/>
    </row>
    <row r="60" ht="14.75" spans="1:4">
      <c r="A60" s="1">
        <v>41944</v>
      </c>
      <c r="B60" s="8">
        <v>0.0477</v>
      </c>
      <c r="C60" s="8"/>
      <c r="D60" s="8"/>
    </row>
    <row r="61" ht="14.75" spans="1:4">
      <c r="A61" s="1">
        <v>41974</v>
      </c>
      <c r="B61" s="8">
        <v>-0.1353</v>
      </c>
      <c r="C61" s="8"/>
      <c r="D61" s="8"/>
    </row>
    <row r="62" ht="14.75" spans="1:4">
      <c r="A62" s="1">
        <v>42005</v>
      </c>
      <c r="B62" s="8">
        <v>0.0227</v>
      </c>
      <c r="C62" s="8"/>
      <c r="D62" s="8"/>
    </row>
    <row r="63" ht="14.75" spans="1:4">
      <c r="A63" s="1">
        <v>42036</v>
      </c>
      <c r="B63" s="8">
        <v>0.0675</v>
      </c>
      <c r="C63" s="8"/>
      <c r="D63" s="8"/>
    </row>
    <row r="64" ht="14.75" spans="1:4">
      <c r="A64" s="9">
        <v>42064</v>
      </c>
      <c r="B64" s="10">
        <v>0.2462</v>
      </c>
      <c r="C64" s="10"/>
      <c r="D64" s="10"/>
    </row>
    <row r="65" ht="14.75" spans="1:4">
      <c r="A65" s="1">
        <v>42095</v>
      </c>
      <c r="B65" s="8">
        <v>0.079</v>
      </c>
      <c r="C65" s="8"/>
      <c r="D65" s="8"/>
    </row>
    <row r="66" ht="14.75" spans="1:4">
      <c r="A66" s="1">
        <v>42125</v>
      </c>
      <c r="B66" s="8">
        <v>0.415</v>
      </c>
      <c r="C66" s="8"/>
      <c r="D66" s="8"/>
    </row>
    <row r="67" ht="14.75" spans="1:4">
      <c r="A67" s="1">
        <v>42156</v>
      </c>
      <c r="B67" s="8">
        <v>0.0212</v>
      </c>
      <c r="C67" s="8"/>
      <c r="D67" s="8"/>
    </row>
    <row r="68" ht="14.75" spans="1:4">
      <c r="A68" s="1">
        <v>42186</v>
      </c>
      <c r="B68" s="8">
        <v>0.3626</v>
      </c>
      <c r="C68" s="8"/>
      <c r="D68" s="8"/>
    </row>
    <row r="69" ht="14.75" spans="1:4">
      <c r="A69" s="1">
        <v>42217</v>
      </c>
      <c r="B69" s="8">
        <v>0.283</v>
      </c>
      <c r="C69" s="8"/>
      <c r="D69" s="8"/>
    </row>
    <row r="70" ht="14.75" spans="1:4">
      <c r="A70" s="1">
        <v>42248</v>
      </c>
      <c r="B70" s="8">
        <v>-0.0678</v>
      </c>
      <c r="C70" s="8"/>
      <c r="D70" s="8"/>
    </row>
    <row r="71" ht="14.75" spans="1:4">
      <c r="A71" s="1">
        <v>42278</v>
      </c>
      <c r="B71" s="8">
        <v>0.2277</v>
      </c>
      <c r="C71" s="8"/>
      <c r="D71" s="8"/>
    </row>
    <row r="72" ht="14.75" spans="1:4">
      <c r="A72" s="1">
        <v>42309</v>
      </c>
      <c r="B72" s="8">
        <v>0.3277</v>
      </c>
      <c r="C72" s="8"/>
      <c r="D72" s="8"/>
    </row>
    <row r="73" ht="14.75" spans="1:4">
      <c r="A73" s="1">
        <v>42339</v>
      </c>
      <c r="B73" s="8">
        <v>0.2392</v>
      </c>
      <c r="C73" s="8"/>
      <c r="D73" s="8"/>
    </row>
    <row r="74" ht="14.75" spans="1:4">
      <c r="A74" s="9">
        <v>42370</v>
      </c>
      <c r="B74" s="10">
        <v>-0.0084</v>
      </c>
      <c r="C74" s="10"/>
      <c r="D74" s="10"/>
    </row>
    <row r="75" ht="14.75" spans="1:4">
      <c r="A75" s="1">
        <v>42401</v>
      </c>
      <c r="B75" s="8">
        <v>0.0011</v>
      </c>
      <c r="C75" s="8"/>
      <c r="D75" s="8"/>
    </row>
    <row r="76" ht="14.75" spans="1:4">
      <c r="A76" s="1">
        <v>42430</v>
      </c>
      <c r="B76" s="8">
        <v>0.4005</v>
      </c>
      <c r="C76" s="8"/>
      <c r="D76" s="8"/>
    </row>
    <row r="77" ht="14.75" spans="1:4">
      <c r="A77" s="1">
        <v>42461</v>
      </c>
      <c r="B77" s="8">
        <v>0.0084</v>
      </c>
      <c r="C77" s="8"/>
      <c r="D77" s="8"/>
    </row>
    <row r="78" ht="14.75" spans="1:4">
      <c r="A78" s="1">
        <v>42491</v>
      </c>
      <c r="B78" s="8">
        <v>-0.0213</v>
      </c>
      <c r="C78" s="8"/>
      <c r="D78" s="8"/>
    </row>
    <row r="79" ht="14.75" spans="1:4">
      <c r="A79" s="1">
        <v>42522</v>
      </c>
      <c r="B79" s="8">
        <v>0.1059</v>
      </c>
      <c r="C79" s="8"/>
      <c r="D79" s="8"/>
    </row>
    <row r="80" ht="14.75" spans="1:4">
      <c r="A80" s="1">
        <v>42552</v>
      </c>
      <c r="B80" s="8">
        <v>0.0296</v>
      </c>
      <c r="C80" s="8"/>
      <c r="D80" s="8"/>
    </row>
    <row r="81" ht="14.75" spans="1:4">
      <c r="A81" s="1">
        <v>42583</v>
      </c>
      <c r="B81" s="8">
        <v>0.0412</v>
      </c>
      <c r="C81" s="8"/>
      <c r="D81" s="8"/>
    </row>
    <row r="82" ht="14.75" spans="1:4">
      <c r="A82" s="1">
        <v>42614</v>
      </c>
      <c r="B82" s="8">
        <v>0.0455</v>
      </c>
      <c r="C82" s="8"/>
      <c r="D82" s="8"/>
    </row>
    <row r="83" ht="14.75" spans="1:4">
      <c r="A83" s="1">
        <v>42644</v>
      </c>
      <c r="B83" s="8">
        <v>0.0609</v>
      </c>
      <c r="C83" s="8"/>
      <c r="D83" s="8"/>
    </row>
    <row r="84" ht="14.75" spans="1:4">
      <c r="A84" s="1">
        <v>42675</v>
      </c>
      <c r="B84" s="8">
        <v>0.0377</v>
      </c>
      <c r="C84" s="8"/>
      <c r="D84" s="8"/>
    </row>
    <row r="85" ht="14.75" spans="1:4">
      <c r="A85" s="1">
        <v>42705</v>
      </c>
      <c r="B85" s="8">
        <v>0.12</v>
      </c>
      <c r="C85" s="8"/>
      <c r="D85" s="8"/>
    </row>
    <row r="86" ht="14.75" spans="1:4">
      <c r="A86" s="1">
        <v>42736</v>
      </c>
      <c r="B86" s="8">
        <v>0.0177</v>
      </c>
      <c r="C86" s="8"/>
      <c r="D86" s="8"/>
    </row>
    <row r="87" ht="14.75" spans="1:4">
      <c r="A87" s="1">
        <v>42767</v>
      </c>
      <c r="B87" s="8">
        <v>0.0514</v>
      </c>
      <c r="C87" s="8"/>
      <c r="D87" s="8"/>
    </row>
    <row r="88" ht="14.75" spans="1:4">
      <c r="A88" s="1">
        <v>42795</v>
      </c>
      <c r="B88" s="8">
        <v>-0.0782</v>
      </c>
      <c r="C88" s="8"/>
      <c r="D88" s="8"/>
    </row>
    <row r="89" ht="14.75" spans="1:4">
      <c r="A89" s="1">
        <v>42826</v>
      </c>
      <c r="B89" s="8">
        <v>0.0085</v>
      </c>
      <c r="C89" s="8"/>
      <c r="D89" s="8"/>
    </row>
    <row r="90" ht="14.75" spans="1:4">
      <c r="A90" s="1">
        <v>42856</v>
      </c>
      <c r="B90" s="8">
        <v>-0.0614</v>
      </c>
      <c r="C90" s="8"/>
      <c r="D90" s="8"/>
    </row>
    <row r="91" ht="14.75" spans="1:4">
      <c r="A91" s="1">
        <v>42887</v>
      </c>
      <c r="B91" s="8">
        <v>0.0901</v>
      </c>
      <c r="C91" s="8"/>
      <c r="D91" s="8"/>
    </row>
    <row r="92" ht="14.75" spans="1:4">
      <c r="A92" s="1">
        <v>42917</v>
      </c>
      <c r="B92" s="8">
        <v>-0.0132</v>
      </c>
      <c r="C92" s="8"/>
      <c r="D92" s="8"/>
    </row>
    <row r="93" ht="14.75" spans="1:4">
      <c r="A93" s="1">
        <v>42948</v>
      </c>
      <c r="B93" s="8">
        <v>0.1779</v>
      </c>
      <c r="C93" s="8"/>
      <c r="D93" s="8"/>
    </row>
    <row r="94" ht="14.75" spans="1:4">
      <c r="A94" s="1">
        <v>42979</v>
      </c>
      <c r="B94" s="8">
        <v>0.0209</v>
      </c>
      <c r="C94" s="8"/>
      <c r="D94" s="8"/>
    </row>
    <row r="95" ht="14.75" spans="1:4">
      <c r="A95" s="1">
        <v>43009</v>
      </c>
      <c r="B95" s="8">
        <v>-0.0084</v>
      </c>
      <c r="C95" s="8"/>
      <c r="D95" s="8"/>
    </row>
    <row r="96" ht="14.75" spans="1:4">
      <c r="A96" s="1">
        <v>43040</v>
      </c>
      <c r="B96" s="8">
        <v>-0.0635</v>
      </c>
      <c r="C96" s="8"/>
      <c r="D96" s="8"/>
    </row>
    <row r="97" ht="14.75" spans="1:4">
      <c r="A97" s="1">
        <v>43070</v>
      </c>
      <c r="B97" s="8">
        <v>-0.0392</v>
      </c>
      <c r="C97" s="8"/>
      <c r="D97" s="8"/>
    </row>
    <row r="98" ht="14.75" spans="1:4">
      <c r="A98" s="1">
        <v>43101</v>
      </c>
      <c r="B98" s="8">
        <v>0.0243</v>
      </c>
      <c r="C98" s="8"/>
      <c r="D98" s="8"/>
    </row>
    <row r="99" ht="14.75" spans="1:4">
      <c r="A99" s="1">
        <v>43132</v>
      </c>
      <c r="B99" s="8">
        <v>0.0119</v>
      </c>
      <c r="C99" s="8"/>
      <c r="D99" s="8"/>
    </row>
    <row r="100" ht="14.75" spans="1:4">
      <c r="A100" s="1">
        <v>43160</v>
      </c>
      <c r="B100" s="8">
        <v>0.1099</v>
      </c>
      <c r="C100" s="8"/>
      <c r="D100" s="8"/>
    </row>
    <row r="101" ht="14.75" spans="1:4">
      <c r="A101" s="1">
        <v>43191</v>
      </c>
      <c r="B101" s="8">
        <v>0.0021</v>
      </c>
      <c r="C101" s="8"/>
      <c r="D101" s="8"/>
    </row>
    <row r="102" ht="14.75" spans="1:4">
      <c r="A102" s="1">
        <v>43221</v>
      </c>
      <c r="B102" s="8">
        <v>0.0257</v>
      </c>
      <c r="C102" s="8"/>
      <c r="D102" s="8"/>
    </row>
    <row r="103" ht="14.75" spans="1:4">
      <c r="A103" s="1">
        <v>43252</v>
      </c>
      <c r="B103" s="8">
        <v>-0.0844</v>
      </c>
      <c r="C103" s="8"/>
      <c r="D103" s="8"/>
    </row>
    <row r="104" ht="14.75" spans="1:4">
      <c r="A104" s="1">
        <v>43282</v>
      </c>
      <c r="B104" s="8">
        <v>0.1728</v>
      </c>
      <c r="C104" s="8"/>
      <c r="D104" s="8"/>
    </row>
    <row r="105" ht="14.75" spans="1:4">
      <c r="A105" s="1">
        <v>43313</v>
      </c>
      <c r="B105" s="8">
        <v>-0.071</v>
      </c>
      <c r="C105" s="8"/>
      <c r="D105" s="8"/>
    </row>
    <row r="106" ht="14.75" spans="1:4">
      <c r="A106" s="1">
        <v>43344</v>
      </c>
      <c r="B106" s="8">
        <v>0.0614</v>
      </c>
      <c r="C106" s="8"/>
      <c r="D106" s="8"/>
    </row>
    <row r="107" ht="14.75" spans="1:4">
      <c r="A107" s="1">
        <v>43374</v>
      </c>
      <c r="B107" s="8">
        <v>0.0711</v>
      </c>
      <c r="C107" s="8"/>
      <c r="D107" s="8"/>
    </row>
    <row r="108" ht="14.75" spans="1:4">
      <c r="A108" s="1">
        <v>43405</v>
      </c>
      <c r="B108" s="8">
        <v>0.1498</v>
      </c>
      <c r="C108" s="8"/>
      <c r="D108" s="8"/>
    </row>
    <row r="109" ht="14.75" spans="1:4">
      <c r="A109" s="1">
        <v>43435</v>
      </c>
      <c r="B109" s="8">
        <v>-0.0448</v>
      </c>
      <c r="C109" s="8"/>
      <c r="D109" s="8"/>
    </row>
    <row r="110" ht="14.75" spans="1:4">
      <c r="A110" s="1">
        <v>43466</v>
      </c>
      <c r="B110" s="8">
        <v>0.0143</v>
      </c>
      <c r="C110" s="8"/>
      <c r="D110" s="8"/>
    </row>
    <row r="111" ht="14.75" spans="1:4">
      <c r="A111" s="1">
        <v>43497</v>
      </c>
      <c r="B111" s="8">
        <v>0.1369</v>
      </c>
      <c r="C111" s="8"/>
      <c r="D111" s="8"/>
    </row>
    <row r="112" ht="14.75" spans="1:4">
      <c r="A112" s="1">
        <v>43525</v>
      </c>
      <c r="B112" s="8">
        <v>0.1862</v>
      </c>
      <c r="C112" s="8"/>
      <c r="D112" s="8"/>
    </row>
    <row r="113" ht="14.75" spans="1:4">
      <c r="A113" s="1">
        <v>43556</v>
      </c>
      <c r="B113" s="8">
        <v>0.0276</v>
      </c>
      <c r="C113" s="8"/>
      <c r="D113" s="8"/>
    </row>
    <row r="114" ht="14.75" spans="1:4">
      <c r="A114" s="1">
        <v>43586</v>
      </c>
      <c r="B114" s="8">
        <v>0.0582</v>
      </c>
      <c r="C114" s="8"/>
      <c r="D114" s="8"/>
    </row>
    <row r="115" ht="14.75" spans="1:4">
      <c r="A115" s="1">
        <v>43617</v>
      </c>
      <c r="B115" s="8">
        <v>0.0329</v>
      </c>
      <c r="C115" s="8"/>
      <c r="D115" s="8"/>
    </row>
    <row r="116" ht="14.75" spans="1:4">
      <c r="A116" s="1">
        <v>43647</v>
      </c>
      <c r="B116" s="8">
        <v>-0.0096</v>
      </c>
      <c r="C116" s="8"/>
      <c r="D116" s="8"/>
    </row>
    <row r="117" ht="14.75" spans="1:4">
      <c r="A117" s="1">
        <v>43678</v>
      </c>
      <c r="B117" s="8">
        <v>-0.0119</v>
      </c>
      <c r="C117" s="8"/>
      <c r="D117" s="8"/>
    </row>
    <row r="118" ht="14.75" spans="1:4">
      <c r="A118" s="1">
        <v>43709</v>
      </c>
      <c r="B118" s="8">
        <v>0.0449</v>
      </c>
      <c r="C118" s="8"/>
      <c r="D118" s="8"/>
    </row>
    <row r="119" ht="14.75" spans="1:4">
      <c r="A119" s="1">
        <v>43739</v>
      </c>
      <c r="B119" s="8">
        <v>-0.0117</v>
      </c>
      <c r="C119" s="8"/>
      <c r="D119" s="8"/>
    </row>
    <row r="120" ht="14.75" spans="1:4">
      <c r="A120" s="1">
        <v>43770</v>
      </c>
      <c r="B120" s="8">
        <v>-0.0051</v>
      </c>
      <c r="C120" s="8"/>
      <c r="D120" s="8"/>
    </row>
    <row r="121" ht="14.75" spans="1:4">
      <c r="A121" s="1">
        <v>43800</v>
      </c>
      <c r="B121" s="8">
        <v>0.1302</v>
      </c>
      <c r="C121" s="8"/>
      <c r="D121" s="8"/>
    </row>
    <row r="122" ht="14.75" spans="1:4">
      <c r="A122" s="1">
        <v>43831</v>
      </c>
      <c r="B122" s="8">
        <v>0.0099</v>
      </c>
      <c r="C122" s="8"/>
      <c r="D122" s="8"/>
    </row>
    <row r="123" ht="14.75" spans="1:4">
      <c r="A123" s="1">
        <v>43862</v>
      </c>
      <c r="B123" s="8">
        <v>0.0369</v>
      </c>
      <c r="C123" s="8"/>
      <c r="D123" s="8"/>
    </row>
    <row r="124" ht="14.75" spans="1:4">
      <c r="A124" s="1">
        <v>43891</v>
      </c>
      <c r="B124" s="8">
        <v>0.0595</v>
      </c>
      <c r="C124" s="8"/>
      <c r="D124" s="8"/>
    </row>
    <row r="125" ht="14.75" spans="1:4">
      <c r="A125" s="1">
        <v>43922</v>
      </c>
      <c r="B125" s="8">
        <v>0.0314</v>
      </c>
      <c r="C125" s="8"/>
      <c r="D125" s="8"/>
    </row>
    <row r="126" ht="14.75" spans="1:4">
      <c r="A126" s="1">
        <v>43952</v>
      </c>
      <c r="B126" s="8">
        <v>0.0684</v>
      </c>
      <c r="C126" s="8"/>
      <c r="D126" s="8"/>
    </row>
    <row r="127" ht="14.75" spans="1:4">
      <c r="A127" s="1">
        <v>43983</v>
      </c>
      <c r="B127" s="8">
        <v>0.0866</v>
      </c>
      <c r="C127" s="8"/>
      <c r="D127" s="8"/>
    </row>
    <row r="128" ht="14.75" spans="1:4">
      <c r="A128" s="1">
        <v>44013</v>
      </c>
      <c r="B128" s="8">
        <v>0.0961</v>
      </c>
      <c r="C128" s="8"/>
      <c r="D128" s="8"/>
    </row>
    <row r="129" ht="14.75" spans="1:4">
      <c r="A129" s="1">
        <v>44044</v>
      </c>
      <c r="B129" s="8">
        <v>0.1462</v>
      </c>
      <c r="C129" s="8"/>
      <c r="D129" s="8"/>
    </row>
    <row r="130" ht="14.75" spans="1:4">
      <c r="A130" s="1">
        <v>44075</v>
      </c>
      <c r="B130" s="8">
        <v>-0.0312</v>
      </c>
      <c r="C130" s="8"/>
      <c r="D130" s="8"/>
    </row>
    <row r="131" ht="14.75" spans="1:4">
      <c r="A131" s="1">
        <v>44105</v>
      </c>
      <c r="B131" s="8">
        <v>0.0274</v>
      </c>
      <c r="C131" s="8"/>
      <c r="D131" s="8"/>
    </row>
    <row r="132" ht="14.75" spans="1:4">
      <c r="A132" s="1">
        <v>44136</v>
      </c>
      <c r="B132" s="8">
        <v>0.0181</v>
      </c>
      <c r="C132" s="8"/>
      <c r="D132" s="8"/>
    </row>
    <row r="133" spans="1:4">
      <c r="A133" s="1">
        <v>44166</v>
      </c>
      <c r="B133" s="8">
        <v>-0.112</v>
      </c>
      <c r="C133" s="8"/>
      <c r="D133" s="8"/>
    </row>
    <row r="134" spans="1:4">
      <c r="A134" s="1">
        <v>44197</v>
      </c>
      <c r="B134" s="8">
        <v>0.0077</v>
      </c>
      <c r="C134" s="8"/>
      <c r="D134" s="8"/>
    </row>
    <row r="135" spans="1:4">
      <c r="A135" s="1">
        <v>44228</v>
      </c>
      <c r="B135" s="8">
        <v>0.1271</v>
      </c>
      <c r="C135" s="8"/>
      <c r="D135" s="8"/>
    </row>
    <row r="136" ht="14.75" spans="1:4">
      <c r="A136" s="1">
        <v>44256</v>
      </c>
      <c r="B136" s="8">
        <v>0.1564</v>
      </c>
      <c r="C136" s="8"/>
      <c r="D136" s="8"/>
    </row>
    <row r="137" ht="14.75" spans="1:4">
      <c r="A137" s="1">
        <v>44287</v>
      </c>
      <c r="B137" s="8">
        <v>-0.0061</v>
      </c>
      <c r="C137" s="8"/>
      <c r="D137" s="8"/>
    </row>
    <row r="138" ht="14.75" spans="1:4">
      <c r="A138" s="1">
        <v>44317</v>
      </c>
      <c r="B138" s="8">
        <v>0.0562</v>
      </c>
      <c r="C138" s="8"/>
      <c r="D138" s="8"/>
    </row>
    <row r="139" ht="14.75" spans="1:4">
      <c r="A139" s="1">
        <v>44348</v>
      </c>
      <c r="B139" s="8">
        <v>0.0235</v>
      </c>
      <c r="C139" s="8"/>
      <c r="D139" s="8"/>
    </row>
    <row r="140" ht="14.75" spans="1:4">
      <c r="A140" s="1">
        <v>44378</v>
      </c>
      <c r="B140" s="8">
        <v>-0.0538</v>
      </c>
      <c r="C140" s="8"/>
      <c r="D140" s="8"/>
    </row>
    <row r="141" ht="14.75" spans="1:4">
      <c r="A141" s="1">
        <v>44409</v>
      </c>
      <c r="B141" s="8">
        <v>0.0861</v>
      </c>
      <c r="C141" s="8"/>
      <c r="D141" s="8"/>
    </row>
    <row r="142" ht="14.75" spans="1:4">
      <c r="A142" s="1">
        <v>44440</v>
      </c>
      <c r="B142" s="8">
        <v>-0.0215</v>
      </c>
      <c r="C142" s="8"/>
      <c r="D142" s="8"/>
    </row>
    <row r="143" ht="14.75" spans="1:4">
      <c r="A143" s="1">
        <v>44470</v>
      </c>
      <c r="B143" s="8">
        <v>-0.0512</v>
      </c>
      <c r="C143" s="8"/>
      <c r="D143" s="8"/>
    </row>
    <row r="144" ht="14.75" spans="1:4">
      <c r="A144" s="1">
        <v>44501</v>
      </c>
      <c r="B144" s="8">
        <v>0.1091</v>
      </c>
      <c r="C144" s="8"/>
      <c r="D144" s="8"/>
    </row>
    <row r="145" ht="14.75" spans="1:4">
      <c r="A145" s="1">
        <v>44531</v>
      </c>
      <c r="B145" s="8">
        <v>0.1123</v>
      </c>
      <c r="C145" s="8"/>
      <c r="D145" s="8"/>
    </row>
    <row r="146" ht="14.75" spans="1:4">
      <c r="A146" s="1">
        <v>44562</v>
      </c>
      <c r="B146" s="8">
        <v>-0.0016</v>
      </c>
      <c r="C146" s="8"/>
      <c r="D146" s="8"/>
    </row>
    <row r="147" ht="14.75" spans="1:4">
      <c r="A147" s="1">
        <v>44593</v>
      </c>
      <c r="B147" s="8">
        <v>0.0797</v>
      </c>
      <c r="C147" s="8"/>
      <c r="D147" s="8"/>
    </row>
    <row r="148" ht="14.75" spans="1:4">
      <c r="A148" s="1">
        <v>44621</v>
      </c>
      <c r="B148" s="8">
        <v>0.0547</v>
      </c>
      <c r="C148" s="8"/>
      <c r="D148" s="8"/>
    </row>
    <row r="149" ht="14.75" spans="1:4">
      <c r="A149" s="1">
        <v>44652</v>
      </c>
      <c r="B149" s="8">
        <v>-0.0187</v>
      </c>
      <c r="C149" s="8"/>
      <c r="D149" s="8"/>
    </row>
    <row r="150" ht="14.75" spans="1:4">
      <c r="A150" s="1">
        <v>44682</v>
      </c>
      <c r="B150" s="8">
        <v>0.2725</v>
      </c>
      <c r="C150" s="8"/>
      <c r="D150" s="8"/>
    </row>
    <row r="151" ht="14.75" spans="1:4">
      <c r="A151" s="1">
        <v>44713</v>
      </c>
      <c r="B151" s="8">
        <v>0.1417</v>
      </c>
      <c r="C151" s="8"/>
      <c r="D151" s="8"/>
    </row>
    <row r="152" ht="14.75" spans="1:4">
      <c r="A152" s="1">
        <v>44743</v>
      </c>
      <c r="B152" s="8">
        <v>0.2166</v>
      </c>
      <c r="C152" s="8"/>
      <c r="D152" s="8"/>
    </row>
    <row r="153" ht="14.75" spans="1:4">
      <c r="A153" s="1">
        <v>44774</v>
      </c>
      <c r="B153" s="8">
        <v>0.1873</v>
      </c>
      <c r="C153" s="8"/>
      <c r="D153" s="8"/>
    </row>
    <row r="154" ht="14.75" spans="1:4">
      <c r="A154" s="1">
        <v>44805</v>
      </c>
      <c r="B154" s="8">
        <v>0.0367</v>
      </c>
      <c r="C154" s="8"/>
      <c r="D154" s="8"/>
    </row>
    <row r="155" ht="14.75" spans="1:4">
      <c r="A155" s="1">
        <v>44835</v>
      </c>
      <c r="B155" s="8">
        <v>0.0711</v>
      </c>
      <c r="C155" s="8"/>
      <c r="D155" s="8"/>
    </row>
    <row r="156" ht="14.75" spans="1:4">
      <c r="A156" s="1">
        <v>44866</v>
      </c>
      <c r="B156" s="8">
        <v>0.1051</v>
      </c>
      <c r="C156" s="8"/>
      <c r="D156" s="8"/>
    </row>
    <row r="157" ht="14.75" spans="1:4">
      <c r="A157" s="1">
        <v>44896</v>
      </c>
      <c r="B157" s="8">
        <v>0.0431</v>
      </c>
      <c r="C157" s="8"/>
      <c r="D157" s="8"/>
    </row>
    <row r="158" ht="14.75" spans="1:4">
      <c r="A158" s="1">
        <v>44927</v>
      </c>
      <c r="B158" s="8">
        <v>0.0148</v>
      </c>
      <c r="C158" s="8"/>
      <c r="D158" s="8"/>
    </row>
    <row r="159" ht="14.75" spans="1:4">
      <c r="A159" s="1">
        <v>44958</v>
      </c>
      <c r="B159" s="8">
        <v>0.0113</v>
      </c>
      <c r="C159" s="8"/>
      <c r="D159" s="8"/>
    </row>
    <row r="160" ht="14.75" spans="1:4">
      <c r="A160" s="1">
        <v>44986</v>
      </c>
      <c r="B160" s="8">
        <v>-0.0182</v>
      </c>
      <c r="C160" s="8"/>
      <c r="D160" s="8"/>
    </row>
    <row r="161" ht="14.75" spans="1:4">
      <c r="A161" s="1">
        <v>45017</v>
      </c>
      <c r="B161" s="8">
        <v>0.0234</v>
      </c>
      <c r="C161" s="8"/>
      <c r="D161" s="8"/>
    </row>
    <row r="162" ht="14.75" spans="1:4">
      <c r="A162" s="1">
        <v>45047</v>
      </c>
      <c r="B162" s="8">
        <v>0.0327</v>
      </c>
      <c r="C162" s="8"/>
      <c r="D162" s="8"/>
    </row>
    <row r="163" ht="14.75" spans="1:4">
      <c r="A163" s="1">
        <v>45078</v>
      </c>
      <c r="B163" s="8">
        <v>0.047</v>
      </c>
      <c r="C163" s="8"/>
      <c r="D163" s="8"/>
    </row>
    <row r="164" ht="14.75" spans="1:4">
      <c r="A164" s="1">
        <v>45108</v>
      </c>
      <c r="B164" s="8">
        <v>0.1586</v>
      </c>
      <c r="C164" s="8"/>
      <c r="D164" s="8"/>
    </row>
    <row r="165" ht="14.75" spans="1:4">
      <c r="A165" s="1">
        <v>45139</v>
      </c>
      <c r="B165" s="8">
        <v>-0.021</v>
      </c>
      <c r="C165" s="8"/>
      <c r="D165" s="8"/>
    </row>
    <row r="166" ht="14.75" spans="1:4">
      <c r="A166" s="1">
        <v>45170</v>
      </c>
      <c r="B166" s="8">
        <v>0.024</v>
      </c>
      <c r="C166" s="8"/>
      <c r="D166" s="8"/>
    </row>
    <row r="167" ht="14.75" spans="1:4">
      <c r="A167" s="1">
        <v>45200</v>
      </c>
      <c r="B167" s="8">
        <v>0.0474</v>
      </c>
      <c r="C167" s="8"/>
      <c r="D167" s="8"/>
    </row>
    <row r="168" ht="14.75" spans="1:4">
      <c r="A168" s="1">
        <v>45231</v>
      </c>
      <c r="B168" s="8">
        <v>0.1049</v>
      </c>
      <c r="C168" s="8"/>
      <c r="D168" s="8"/>
    </row>
    <row r="169" ht="14.75" spans="1:4">
      <c r="A169" s="1">
        <v>45261</v>
      </c>
      <c r="B169" s="8">
        <v>-0.0024</v>
      </c>
      <c r="C169" s="8"/>
      <c r="D169" s="8"/>
    </row>
    <row r="170" ht="14.75" spans="1:4">
      <c r="A170" s="1">
        <v>45292</v>
      </c>
      <c r="B170" s="8">
        <v>0.0587</v>
      </c>
      <c r="C170" s="8"/>
      <c r="D170" s="8"/>
    </row>
    <row r="171" ht="14.75" spans="1:4">
      <c r="A171" s="1">
        <v>45323</v>
      </c>
      <c r="B171" s="8">
        <v>0.1895</v>
      </c>
      <c r="C171" s="8"/>
      <c r="D171" s="8"/>
    </row>
    <row r="172" ht="14.75" spans="1:4">
      <c r="A172" s="1">
        <v>45352</v>
      </c>
      <c r="B172" s="8">
        <v>0.2207</v>
      </c>
      <c r="C172" s="8"/>
      <c r="D172" s="8"/>
    </row>
    <row r="173" ht="14.75" spans="1:4">
      <c r="A173" s="1">
        <v>45383</v>
      </c>
      <c r="B173" s="8">
        <v>0.0343</v>
      </c>
      <c r="C173" s="8"/>
      <c r="D173" s="8"/>
    </row>
    <row r="174" ht="14.75" spans="1:4">
      <c r="A174" s="1">
        <v>45413</v>
      </c>
      <c r="B174" s="8">
        <v>-0.0156</v>
      </c>
      <c r="C174" s="8"/>
      <c r="D174" s="8"/>
    </row>
    <row r="175" ht="14.75" spans="1:4">
      <c r="A175" s="1">
        <v>45444</v>
      </c>
      <c r="B175" s="8">
        <v>-0.1354</v>
      </c>
      <c r="C175" s="8"/>
      <c r="D175" s="8"/>
    </row>
    <row r="176" ht="14.75" spans="1:4">
      <c r="A176" s="1">
        <v>45474</v>
      </c>
      <c r="B176" s="8">
        <v>0.1169</v>
      </c>
      <c r="C176" s="8"/>
      <c r="D176" s="8"/>
    </row>
    <row r="177" ht="14.75" spans="1:4">
      <c r="A177" s="1">
        <v>45505</v>
      </c>
      <c r="B177" s="8">
        <v>0.1481</v>
      </c>
      <c r="C177" s="8"/>
      <c r="D177" s="8"/>
    </row>
    <row r="178" ht="14.75" spans="1:4">
      <c r="A178" s="1">
        <v>45536</v>
      </c>
      <c r="B178" s="8">
        <v>0.2549</v>
      </c>
      <c r="C178" s="8"/>
      <c r="D178" s="8"/>
    </row>
    <row r="179" ht="14.75" spans="1:4">
      <c r="A179" s="1">
        <v>45566</v>
      </c>
      <c r="B179" s="8">
        <v>0.2231</v>
      </c>
      <c r="C179" s="8"/>
      <c r="D179" s="8"/>
    </row>
    <row r="180" ht="14.75" spans="1:4">
      <c r="A180" s="1">
        <v>45597</v>
      </c>
      <c r="B180" s="8">
        <v>0.1335</v>
      </c>
      <c r="C180" s="8"/>
      <c r="D180" s="8"/>
    </row>
    <row r="181" ht="14.75" spans="1:4">
      <c r="A181" s="1">
        <v>45627</v>
      </c>
      <c r="B181" s="8">
        <v>0.0415</v>
      </c>
      <c r="C181" s="8"/>
      <c r="D181" s="8"/>
    </row>
    <row r="182" ht="14.75" spans="1:4">
      <c r="A182" s="1">
        <v>45658</v>
      </c>
      <c r="B182" s="8">
        <v>-0.0074</v>
      </c>
      <c r="C182" s="8"/>
      <c r="D182" s="8"/>
    </row>
    <row r="183" ht="14.75" spans="1:4">
      <c r="A183" s="1">
        <v>45689</v>
      </c>
      <c r="B183" s="8">
        <v>0.2489</v>
      </c>
      <c r="C183" s="8"/>
      <c r="D183" s="8"/>
    </row>
    <row r="184" ht="14.75" spans="1:4">
      <c r="A184" s="1">
        <v>45717</v>
      </c>
      <c r="B184" s="8">
        <v>-0.0711</v>
      </c>
      <c r="C184" s="8"/>
      <c r="D184" s="8"/>
    </row>
    <row r="185" ht="14.75" spans="1:4">
      <c r="A185" s="1">
        <v>45748</v>
      </c>
      <c r="B185" s="8">
        <v>0.0526</v>
      </c>
      <c r="C185" s="8"/>
      <c r="D185" s="8"/>
    </row>
    <row r="186" ht="14.75" spans="1:4">
      <c r="A186" s="1">
        <v>45778</v>
      </c>
      <c r="B186" s="8">
        <v>0.0431</v>
      </c>
      <c r="C186" s="8"/>
      <c r="D186" s="8"/>
    </row>
    <row r="187" ht="14.75" spans="1:4">
      <c r="A187" s="1">
        <v>45809</v>
      </c>
      <c r="B187" s="8">
        <v>0.1423</v>
      </c>
      <c r="C187" s="8"/>
      <c r="D187" s="8"/>
    </row>
    <row r="188" ht="14.75" spans="1:4">
      <c r="A188" s="1">
        <v>45839</v>
      </c>
      <c r="B188" s="8">
        <v>0.0876</v>
      </c>
      <c r="C188" s="8"/>
      <c r="D188" s="8"/>
    </row>
    <row r="189" ht="14.75" spans="1:4">
      <c r="A189" s="1">
        <v>45870</v>
      </c>
      <c r="B189" s="8">
        <v>-0.0326</v>
      </c>
      <c r="C189" s="8"/>
      <c r="D189" s="8"/>
    </row>
    <row r="190" ht="14.75" spans="1:4">
      <c r="A190" s="1">
        <v>45901</v>
      </c>
      <c r="B190" s="8">
        <v>0.1218</v>
      </c>
      <c r="C190" s="8"/>
      <c r="D190" s="8"/>
    </row>
    <row r="191" ht="14.75" spans="1:4">
      <c r="A191" s="1">
        <v>45931</v>
      </c>
      <c r="B191" s="8">
        <v>0.0044</v>
      </c>
      <c r="C191" s="8"/>
      <c r="D191" s="8"/>
    </row>
    <row r="192" ht="14.75" spans="1:4">
      <c r="A192" s="1">
        <v>45962</v>
      </c>
      <c r="B192" s="8">
        <v>0.0793</v>
      </c>
      <c r="C192" s="8"/>
      <c r="D192" s="8"/>
    </row>
    <row r="193" ht="14.75" spans="1:4">
      <c r="A193" s="9">
        <v>45992</v>
      </c>
      <c r="B193" s="10">
        <v>-0.0685</v>
      </c>
      <c r="C193" s="10"/>
      <c r="D193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zoomScale="130" zoomScaleNormal="130" workbookViewId="0">
      <selection activeCell="A1" sqref="A1:U15"/>
    </sheetView>
  </sheetViews>
  <sheetFormatPr defaultColWidth="9" defaultRowHeight="14"/>
  <cols>
    <col min="2" max="18" width="8.54545454545454" customWidth="1"/>
    <col min="21" max="21" width="6.01818181818182" customWidth="1"/>
  </cols>
  <sheetData>
    <row r="1" ht="14.75" spans="2:17">
      <c r="B1">
        <v>10</v>
      </c>
      <c r="C1">
        <v>11</v>
      </c>
      <c r="D1">
        <v>12</v>
      </c>
      <c r="E1">
        <v>13</v>
      </c>
      <c r="F1">
        <v>14</v>
      </c>
      <c r="G1">
        <v>15</v>
      </c>
      <c r="H1">
        <v>16</v>
      </c>
      <c r="I1">
        <v>17</v>
      </c>
      <c r="J1">
        <v>18</v>
      </c>
      <c r="K1">
        <v>19</v>
      </c>
      <c r="L1">
        <v>20</v>
      </c>
      <c r="M1">
        <v>21</v>
      </c>
      <c r="N1">
        <v>22</v>
      </c>
      <c r="O1">
        <v>23</v>
      </c>
      <c r="P1">
        <v>24</v>
      </c>
      <c r="Q1">
        <v>25</v>
      </c>
    </row>
    <row r="2" ht="14.75" spans="1:21">
      <c r="A2" s="1">
        <v>40179</v>
      </c>
      <c r="B2">
        <v>0</v>
      </c>
      <c r="C2">
        <v>-0.0016</v>
      </c>
      <c r="D2">
        <v>0.0301</v>
      </c>
      <c r="E2">
        <v>0.0057</v>
      </c>
      <c r="F2">
        <v>-0.0057</v>
      </c>
      <c r="G2">
        <v>0.0227</v>
      </c>
      <c r="H2">
        <v>-0.0084</v>
      </c>
      <c r="I2">
        <v>0.0177</v>
      </c>
      <c r="J2">
        <v>0.0243</v>
      </c>
      <c r="K2">
        <v>0.0143</v>
      </c>
      <c r="L2">
        <v>0.0099</v>
      </c>
      <c r="M2">
        <v>0.0077</v>
      </c>
      <c r="N2">
        <v>-0.0016</v>
      </c>
      <c r="O2">
        <v>0.0148</v>
      </c>
      <c r="P2">
        <v>0.0587</v>
      </c>
      <c r="Q2">
        <v>-0.0074</v>
      </c>
      <c r="R2" s="6" cm="1">
        <f t="array" ref="R2">PRODUCT(B2:Q2+1)-1</f>
        <v>0.194840242744342</v>
      </c>
      <c r="S2">
        <f>SUM(B2:Q2)</f>
        <v>0.1812</v>
      </c>
      <c r="T2" s="1">
        <v>40179</v>
      </c>
      <c r="U2">
        <f>COUNTIF(B2:Q2,"&lt;0")</f>
        <v>5</v>
      </c>
    </row>
    <row r="3" ht="14.75" spans="1:21">
      <c r="A3" s="1">
        <v>40210</v>
      </c>
      <c r="B3">
        <v>0.0651</v>
      </c>
      <c r="C3">
        <v>0.1456</v>
      </c>
      <c r="D3">
        <v>0.0984</v>
      </c>
      <c r="E3">
        <v>0.0547</v>
      </c>
      <c r="F3">
        <v>0.0822</v>
      </c>
      <c r="G3">
        <v>0.0675</v>
      </c>
      <c r="H3">
        <v>0.0011</v>
      </c>
      <c r="I3">
        <v>0.0514</v>
      </c>
      <c r="J3">
        <v>0.0119</v>
      </c>
      <c r="K3">
        <v>0.1369</v>
      </c>
      <c r="L3">
        <v>0.0369</v>
      </c>
      <c r="M3">
        <v>0.1271</v>
      </c>
      <c r="N3">
        <v>0.0797</v>
      </c>
      <c r="O3">
        <v>0.0113</v>
      </c>
      <c r="P3">
        <v>0.1895</v>
      </c>
      <c r="Q3">
        <v>0.2489</v>
      </c>
      <c r="R3" cm="1">
        <f t="array" ref="R3">PRODUCT(B3:Q3+1)-1</f>
        <v>2.74859148623959</v>
      </c>
      <c r="S3">
        <f t="shared" ref="S3:S13" si="0">SUM(B3:Q3)</f>
        <v>1.4082</v>
      </c>
      <c r="T3" s="1">
        <v>40210</v>
      </c>
      <c r="U3">
        <f t="shared" ref="U3:U13" si="1">COUNTIF(B3:Q3,"&lt;0")</f>
        <v>0</v>
      </c>
    </row>
    <row r="4" ht="14.75" spans="1:21">
      <c r="A4" s="1">
        <v>40238</v>
      </c>
      <c r="B4">
        <v>0.0813</v>
      </c>
      <c r="C4">
        <v>0.0526</v>
      </c>
      <c r="D4">
        <v>-0.065</v>
      </c>
      <c r="E4">
        <v>-0.0189</v>
      </c>
      <c r="F4">
        <v>0.0133</v>
      </c>
      <c r="G4">
        <v>0.2462</v>
      </c>
      <c r="H4">
        <v>0.4005</v>
      </c>
      <c r="I4">
        <v>-0.0782</v>
      </c>
      <c r="J4">
        <v>0.1099</v>
      </c>
      <c r="K4">
        <v>0.1862</v>
      </c>
      <c r="L4">
        <v>0.0595</v>
      </c>
      <c r="M4">
        <v>0.1564</v>
      </c>
      <c r="N4">
        <v>0.0547</v>
      </c>
      <c r="O4">
        <v>-0.0182</v>
      </c>
      <c r="P4">
        <v>0.2207</v>
      </c>
      <c r="Q4">
        <v>-0.0711</v>
      </c>
      <c r="R4" cm="1">
        <f t="array" ref="R4">PRODUCT(B4:Q4+1)-1</f>
        <v>2.22374556844742</v>
      </c>
      <c r="S4">
        <f t="shared" si="0"/>
        <v>1.3299</v>
      </c>
      <c r="T4" s="1">
        <v>40238</v>
      </c>
      <c r="U4">
        <f t="shared" si="1"/>
        <v>5</v>
      </c>
    </row>
    <row r="5" ht="14.75" spans="1:21">
      <c r="A5" s="1">
        <v>40269</v>
      </c>
      <c r="B5">
        <v>0.0008</v>
      </c>
      <c r="C5">
        <v>-0.0008</v>
      </c>
      <c r="D5">
        <v>0.0104</v>
      </c>
      <c r="E5">
        <v>-0.0003</v>
      </c>
      <c r="F5">
        <v>0.0346</v>
      </c>
      <c r="G5">
        <v>0.079</v>
      </c>
      <c r="H5">
        <v>0.0084</v>
      </c>
      <c r="I5">
        <v>0.0085</v>
      </c>
      <c r="J5">
        <v>0.0021</v>
      </c>
      <c r="K5">
        <v>0.0276</v>
      </c>
      <c r="L5">
        <v>0.0314</v>
      </c>
      <c r="M5">
        <v>-0.0061</v>
      </c>
      <c r="N5">
        <v>-0.0187</v>
      </c>
      <c r="O5">
        <v>0.0234</v>
      </c>
      <c r="P5">
        <v>0.0343</v>
      </c>
      <c r="Q5">
        <v>0.0526</v>
      </c>
      <c r="R5" s="7" cm="1">
        <f t="array" ref="R5">PRODUCT(B5:Q5+1)-1</f>
        <v>0.323510793037694</v>
      </c>
      <c r="S5">
        <f t="shared" si="0"/>
        <v>0.2872</v>
      </c>
      <c r="T5" s="1">
        <v>40269</v>
      </c>
      <c r="U5">
        <f t="shared" si="1"/>
        <v>4</v>
      </c>
    </row>
    <row r="6" ht="14.75" spans="1:21">
      <c r="A6" s="1">
        <v>40299</v>
      </c>
      <c r="B6">
        <v>-0.0608</v>
      </c>
      <c r="C6">
        <v>-0.0644</v>
      </c>
      <c r="D6">
        <v>0.0008</v>
      </c>
      <c r="E6">
        <v>0.1792</v>
      </c>
      <c r="F6">
        <v>0.0267</v>
      </c>
      <c r="G6">
        <v>0.415</v>
      </c>
      <c r="H6">
        <v>-0.0213</v>
      </c>
      <c r="I6">
        <v>-0.0614</v>
      </c>
      <c r="J6">
        <v>0.0257</v>
      </c>
      <c r="K6">
        <v>0.0582</v>
      </c>
      <c r="L6">
        <v>0.0684</v>
      </c>
      <c r="M6">
        <v>0.0562</v>
      </c>
      <c r="N6">
        <v>0.2725</v>
      </c>
      <c r="O6">
        <v>0.0327</v>
      </c>
      <c r="P6">
        <v>-0.0156</v>
      </c>
      <c r="Q6">
        <v>0.0431</v>
      </c>
      <c r="R6" s="7" cm="1">
        <f t="array" ref="R6">PRODUCT(B6:Q6+1)-1</f>
        <v>1.28723547337183</v>
      </c>
      <c r="S6">
        <f t="shared" si="0"/>
        <v>0.955</v>
      </c>
      <c r="T6" s="1">
        <v>40299</v>
      </c>
      <c r="U6">
        <f t="shared" si="1"/>
        <v>5</v>
      </c>
    </row>
    <row r="7" ht="14.75" spans="1:21">
      <c r="A7" s="1">
        <v>40330</v>
      </c>
      <c r="B7">
        <v>-0.073</v>
      </c>
      <c r="C7">
        <v>0.0828</v>
      </c>
      <c r="D7">
        <v>-0.0436</v>
      </c>
      <c r="E7">
        <v>-0.1098</v>
      </c>
      <c r="F7">
        <v>0.2214</v>
      </c>
      <c r="G7">
        <v>0.0212</v>
      </c>
      <c r="H7">
        <v>0.1059</v>
      </c>
      <c r="I7">
        <v>0.0901</v>
      </c>
      <c r="J7">
        <v>-0.0844</v>
      </c>
      <c r="K7">
        <v>0.0329</v>
      </c>
      <c r="L7">
        <v>0.0866</v>
      </c>
      <c r="M7">
        <v>0.0235</v>
      </c>
      <c r="N7">
        <v>0.1417</v>
      </c>
      <c r="O7">
        <v>0.047</v>
      </c>
      <c r="P7">
        <v>-0.1354</v>
      </c>
      <c r="Q7">
        <v>0.1423</v>
      </c>
      <c r="R7" s="7" cm="1">
        <f t="array" ref="R7">PRODUCT(B7:Q7+1)-1</f>
        <v>0.595591661283158</v>
      </c>
      <c r="S7">
        <f t="shared" si="0"/>
        <v>0.5492</v>
      </c>
      <c r="T7" s="1">
        <v>40330</v>
      </c>
      <c r="U7">
        <f t="shared" si="1"/>
        <v>5</v>
      </c>
    </row>
    <row r="8" ht="14.75" spans="1:21">
      <c r="A8" s="1">
        <v>40360</v>
      </c>
      <c r="B8">
        <v>0.1977</v>
      </c>
      <c r="C8">
        <v>-0.0211</v>
      </c>
      <c r="D8">
        <v>-0.1551</v>
      </c>
      <c r="E8">
        <v>0.1573</v>
      </c>
      <c r="F8">
        <v>0.1535</v>
      </c>
      <c r="G8">
        <v>0.3626</v>
      </c>
      <c r="H8">
        <v>0.0296</v>
      </c>
      <c r="I8">
        <v>-0.0132</v>
      </c>
      <c r="J8">
        <v>0.1728</v>
      </c>
      <c r="K8">
        <v>-0.0096</v>
      </c>
      <c r="L8">
        <v>0.0961</v>
      </c>
      <c r="M8">
        <v>-0.0538</v>
      </c>
      <c r="N8">
        <v>0.2166</v>
      </c>
      <c r="O8">
        <v>0.1586</v>
      </c>
      <c r="P8">
        <v>0.1169</v>
      </c>
      <c r="Q8">
        <v>0.0876</v>
      </c>
      <c r="R8" cm="1">
        <f t="array" ref="R8">PRODUCT(B8:Q8+1)-1</f>
        <v>2.77618998463726</v>
      </c>
      <c r="S8">
        <f t="shared" si="0"/>
        <v>1.4965</v>
      </c>
      <c r="T8" s="1">
        <v>40360</v>
      </c>
      <c r="U8">
        <f t="shared" si="1"/>
        <v>5</v>
      </c>
    </row>
    <row r="9" ht="14.75" spans="1:21">
      <c r="A9" s="1">
        <v>40391</v>
      </c>
      <c r="B9">
        <v>0.1303</v>
      </c>
      <c r="C9">
        <v>-0.0006</v>
      </c>
      <c r="D9">
        <v>0.0543</v>
      </c>
      <c r="E9">
        <v>0.1024</v>
      </c>
      <c r="F9">
        <v>0.1294</v>
      </c>
      <c r="G9">
        <v>0.283</v>
      </c>
      <c r="H9">
        <v>0.0412</v>
      </c>
      <c r="I9">
        <v>0.1779</v>
      </c>
      <c r="J9">
        <v>-0.071</v>
      </c>
      <c r="K9">
        <v>-0.0119</v>
      </c>
      <c r="L9">
        <v>0.1462</v>
      </c>
      <c r="M9">
        <v>0.0861</v>
      </c>
      <c r="N9">
        <v>0.1873</v>
      </c>
      <c r="O9">
        <v>-0.021</v>
      </c>
      <c r="P9">
        <v>0.1481</v>
      </c>
      <c r="Q9">
        <v>-0.0326</v>
      </c>
      <c r="R9" cm="1">
        <f t="array" ref="R9">PRODUCT(B9:Q9+1)-1</f>
        <v>2.44214606607075</v>
      </c>
      <c r="S9">
        <f t="shared" si="0"/>
        <v>1.3491</v>
      </c>
      <c r="T9" s="1">
        <v>40391</v>
      </c>
      <c r="U9">
        <f t="shared" si="1"/>
        <v>5</v>
      </c>
    </row>
    <row r="10" ht="14.75" spans="1:21">
      <c r="A10" s="1">
        <v>40422</v>
      </c>
      <c r="B10">
        <v>0.11</v>
      </c>
      <c r="C10">
        <v>-0.0886</v>
      </c>
      <c r="D10">
        <v>0.019</v>
      </c>
      <c r="E10">
        <v>0.0868</v>
      </c>
      <c r="F10">
        <v>0.2618</v>
      </c>
      <c r="G10">
        <v>-0.0678</v>
      </c>
      <c r="H10">
        <v>0.0455</v>
      </c>
      <c r="I10">
        <v>0.0209</v>
      </c>
      <c r="J10">
        <v>0.0614</v>
      </c>
      <c r="K10">
        <v>0.0449</v>
      </c>
      <c r="L10">
        <v>-0.0312</v>
      </c>
      <c r="M10">
        <v>-0.0215</v>
      </c>
      <c r="N10">
        <v>0.0367</v>
      </c>
      <c r="O10">
        <v>0.024</v>
      </c>
      <c r="P10">
        <v>0.2549</v>
      </c>
      <c r="Q10">
        <v>0.1218</v>
      </c>
      <c r="R10" cm="1">
        <f t="array" ref="R10">PRODUCT(B10:Q10+1)-1</f>
        <v>1.20998365758364</v>
      </c>
      <c r="S10">
        <f t="shared" si="0"/>
        <v>0.8786</v>
      </c>
      <c r="T10" s="1">
        <v>40422</v>
      </c>
      <c r="U10">
        <f t="shared" si="1"/>
        <v>4</v>
      </c>
    </row>
    <row r="11" ht="14.75" spans="1:21">
      <c r="A11" s="1">
        <v>40452</v>
      </c>
      <c r="B11">
        <v>0.1099</v>
      </c>
      <c r="C11">
        <v>0.0186</v>
      </c>
      <c r="D11">
        <v>0.0012</v>
      </c>
      <c r="E11">
        <v>-0.0176</v>
      </c>
      <c r="F11">
        <v>0.044</v>
      </c>
      <c r="G11">
        <v>0.2277</v>
      </c>
      <c r="H11">
        <v>0.0609</v>
      </c>
      <c r="I11">
        <v>-0.0084</v>
      </c>
      <c r="J11">
        <v>0.0711</v>
      </c>
      <c r="K11">
        <v>-0.0117</v>
      </c>
      <c r="L11">
        <v>0.0274</v>
      </c>
      <c r="M11">
        <v>-0.0512</v>
      </c>
      <c r="N11">
        <v>0.0711</v>
      </c>
      <c r="O11">
        <v>0.0474</v>
      </c>
      <c r="P11">
        <v>0.2231</v>
      </c>
      <c r="Q11">
        <v>0.0044</v>
      </c>
      <c r="R11" cm="1">
        <f t="array" ref="R11">PRODUCT(B11:Q11+1)-1</f>
        <v>1.1322825420196</v>
      </c>
      <c r="S11">
        <f t="shared" si="0"/>
        <v>0.8179</v>
      </c>
      <c r="T11" s="1">
        <v>40452</v>
      </c>
      <c r="U11">
        <f t="shared" si="1"/>
        <v>4</v>
      </c>
    </row>
    <row r="12" ht="14.75" spans="1:21">
      <c r="A12" s="1">
        <v>40483</v>
      </c>
      <c r="B12">
        <v>0.0089</v>
      </c>
      <c r="C12">
        <v>-0.0239</v>
      </c>
      <c r="D12">
        <v>-0.0975</v>
      </c>
      <c r="E12">
        <v>0.1627</v>
      </c>
      <c r="F12">
        <v>0.0477</v>
      </c>
      <c r="G12">
        <v>0.3277</v>
      </c>
      <c r="H12">
        <v>0.0377</v>
      </c>
      <c r="I12">
        <v>-0.0635</v>
      </c>
      <c r="J12">
        <v>0.1498</v>
      </c>
      <c r="K12">
        <v>-0.0051</v>
      </c>
      <c r="L12">
        <v>0.0181</v>
      </c>
      <c r="M12">
        <v>0.1091</v>
      </c>
      <c r="N12">
        <v>0.1051</v>
      </c>
      <c r="O12">
        <v>0.1049</v>
      </c>
      <c r="P12">
        <v>0.1335</v>
      </c>
      <c r="Q12">
        <v>0.0793</v>
      </c>
      <c r="R12" cm="1">
        <f t="array" ref="R12">PRODUCT(B12:Q12+1)-1</f>
        <v>1.69541069581852</v>
      </c>
      <c r="S12">
        <f t="shared" si="0"/>
        <v>1.0945</v>
      </c>
      <c r="T12" s="1">
        <v>40483</v>
      </c>
      <c r="U12">
        <f t="shared" si="1"/>
        <v>4</v>
      </c>
    </row>
    <row r="13" spans="1:21">
      <c r="A13" s="1">
        <v>40513</v>
      </c>
      <c r="B13">
        <v>-0.0207</v>
      </c>
      <c r="C13">
        <v>-0.1536</v>
      </c>
      <c r="D13">
        <v>0.2375</v>
      </c>
      <c r="E13">
        <v>0.0207</v>
      </c>
      <c r="F13">
        <v>-0.1353</v>
      </c>
      <c r="G13">
        <v>0.2392</v>
      </c>
      <c r="H13">
        <v>0.12</v>
      </c>
      <c r="I13">
        <v>-0.0392</v>
      </c>
      <c r="J13">
        <v>-0.0448</v>
      </c>
      <c r="K13">
        <v>0.1302</v>
      </c>
      <c r="L13">
        <v>-0.112</v>
      </c>
      <c r="M13">
        <v>0.1123</v>
      </c>
      <c r="N13">
        <v>0.0431</v>
      </c>
      <c r="O13">
        <v>-0.0024</v>
      </c>
      <c r="P13">
        <v>0.0415</v>
      </c>
      <c r="Q13">
        <v>-0.0685</v>
      </c>
      <c r="R13" cm="1">
        <f t="array" ref="R13">PRODUCT(B13:Q13+1)-1</f>
        <v>0.299575907581825</v>
      </c>
      <c r="S13">
        <f t="shared" si="0"/>
        <v>0.368</v>
      </c>
      <c r="T13" s="1">
        <v>40513</v>
      </c>
      <c r="U13">
        <f t="shared" si="1"/>
        <v>8</v>
      </c>
    </row>
    <row r="14" spans="2:18">
      <c r="B14" s="5">
        <f>(1+B2)*(1+B3)*(1+B4)*(1+B5)*(1+B6)*(1+B7)*(1+B8)*(1+B9)*(1+B10)*(1+B11)*(1+B12)*(1+B13)-1</f>
        <v>0.653614174322446</v>
      </c>
      <c r="C14" s="5">
        <f t="shared" ref="C14:Q14" si="2">(1+C2)*(1+C3)*(1+C4)*(1+C5)*(1+C6)*(1+C7)*(1+C8)*(1+C9)*(1+C10)*(1+C11)*(1+C12)*(1+C13)-1</f>
        <v>-0.0855664203647523</v>
      </c>
      <c r="D14" s="5">
        <f t="shared" si="2"/>
        <v>0.0384573958480514</v>
      </c>
      <c r="E14" s="5">
        <f t="shared" si="2"/>
        <v>0.765405002524292</v>
      </c>
      <c r="F14" s="5">
        <f t="shared" si="2"/>
        <v>1.19935720490706</v>
      </c>
      <c r="G14" s="5">
        <f t="shared" si="2"/>
        <v>5.98281172803228</v>
      </c>
      <c r="H14" s="5">
        <f t="shared" si="2"/>
        <v>1.09694188883488</v>
      </c>
      <c r="I14" s="5">
        <f t="shared" si="2"/>
        <v>0.0775695328691113</v>
      </c>
      <c r="J14" s="5">
        <f t="shared" si="2"/>
        <v>0.472825224873327</v>
      </c>
      <c r="K14" s="5">
        <f t="shared" si="2"/>
        <v>0.745848408003567</v>
      </c>
      <c r="L14" s="5">
        <f t="shared" si="2"/>
        <v>0.501877778017195</v>
      </c>
      <c r="M14" s="5">
        <f t="shared" si="2"/>
        <v>0.660960857965097</v>
      </c>
      <c r="N14" s="5">
        <f t="shared" si="2"/>
        <v>1.99686467587207</v>
      </c>
      <c r="O14" s="5">
        <f t="shared" si="2"/>
        <v>0.495057586521658</v>
      </c>
      <c r="P14" s="5">
        <f t="shared" si="2"/>
        <v>2.14431144891796</v>
      </c>
      <c r="Q14" s="5">
        <f t="shared" si="2"/>
        <v>0.721324876500654</v>
      </c>
      <c r="R14" s="5"/>
    </row>
    <row r="15" spans="2:17">
      <c r="B15">
        <f>SUM(B2:B13)</f>
        <v>0.5495</v>
      </c>
      <c r="C15">
        <f t="shared" ref="C15:Q15" si="3">SUM(C2:C13)</f>
        <v>-0.055</v>
      </c>
      <c r="D15">
        <f t="shared" si="3"/>
        <v>0.0905</v>
      </c>
      <c r="E15">
        <f t="shared" si="3"/>
        <v>0.6229</v>
      </c>
      <c r="F15">
        <f t="shared" si="3"/>
        <v>0.8736</v>
      </c>
      <c r="G15">
        <f t="shared" si="3"/>
        <v>2.224</v>
      </c>
      <c r="H15">
        <f t="shared" si="3"/>
        <v>0.8211</v>
      </c>
      <c r="I15">
        <f t="shared" si="3"/>
        <v>0.1026</v>
      </c>
      <c r="J15">
        <f t="shared" si="3"/>
        <v>0.4288</v>
      </c>
      <c r="K15">
        <f t="shared" si="3"/>
        <v>0.5929</v>
      </c>
      <c r="L15">
        <f t="shared" si="3"/>
        <v>0.4373</v>
      </c>
      <c r="M15">
        <f t="shared" si="3"/>
        <v>0.5458</v>
      </c>
      <c r="N15">
        <f t="shared" si="3"/>
        <v>1.1882</v>
      </c>
      <c r="O15">
        <f t="shared" si="3"/>
        <v>0.4225</v>
      </c>
      <c r="P15">
        <f t="shared" si="3"/>
        <v>1.2702</v>
      </c>
      <c r="Q15">
        <f t="shared" si="3"/>
        <v>0.6004</v>
      </c>
    </row>
  </sheetData>
  <conditionalFormatting sqref="R2:R13">
    <cfRule type="expression" dxfId="0" priority="2">
      <formula>R2&gt;2</formula>
    </cfRule>
    <cfRule type="expression" dxfId="1" priority="1">
      <formula>R2&lt;2</formula>
    </cfRule>
  </conditionalFormatting>
  <conditionalFormatting sqref="S2:S13">
    <cfRule type="expression" dxfId="0" priority="3">
      <formula>S2&gt;1</formula>
    </cfRule>
  </conditionalFormatting>
  <conditionalFormatting sqref="B2:R13">
    <cfRule type="expression" dxfId="2" priority="4">
      <formula>B2&lt;0</formula>
    </cfRule>
    <cfRule type="expression" dxfId="3" priority="5">
      <formula>B2&gt;0.1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zoomScale="160" zoomScaleNormal="160" workbookViewId="0">
      <selection activeCell="A7" sqref="$A7:$XFD7"/>
    </sheetView>
  </sheetViews>
  <sheetFormatPr defaultColWidth="9" defaultRowHeight="14"/>
  <cols>
    <col min="1" max="1" width="12.5363636363636" customWidth="1"/>
    <col min="2" max="13" width="8.54545454545454" customWidth="1"/>
    <col min="14" max="14" width="12.0272727272727" customWidth="1"/>
  </cols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12</v>
      </c>
    </row>
    <row r="2" spans="1:15">
      <c r="A2">
        <v>2010</v>
      </c>
      <c r="B2">
        <v>0</v>
      </c>
      <c r="C2">
        <v>0.0651</v>
      </c>
      <c r="D2">
        <v>0.0813</v>
      </c>
      <c r="E2">
        <v>0.0008</v>
      </c>
      <c r="F2">
        <v>-0.0608</v>
      </c>
      <c r="G2">
        <v>-0.073</v>
      </c>
      <c r="H2">
        <v>0.1977</v>
      </c>
      <c r="I2">
        <v>0.1303</v>
      </c>
      <c r="J2">
        <v>0.11</v>
      </c>
      <c r="K2">
        <v>0.1099</v>
      </c>
      <c r="L2">
        <v>0.0089</v>
      </c>
      <c r="M2">
        <v>-0.0207</v>
      </c>
      <c r="N2" s="5">
        <f>(1+B2)*(1+C2)*(1+D2)*(1+E2)*(1+F2)*(1+G2)*(1+H2)*(1+I2)*(1+J2)*(1+K2)*(1+L2)*(1+M2)-1</f>
        <v>0.653614174322446</v>
      </c>
      <c r="O2">
        <v>2010</v>
      </c>
    </row>
    <row r="3" spans="1:15">
      <c r="A3">
        <v>2011</v>
      </c>
      <c r="B3">
        <v>-0.0016</v>
      </c>
      <c r="C3">
        <v>0.1456</v>
      </c>
      <c r="D3">
        <v>0.0526</v>
      </c>
      <c r="E3">
        <v>-0.0008</v>
      </c>
      <c r="F3">
        <v>-0.0644</v>
      </c>
      <c r="G3">
        <v>0.0828</v>
      </c>
      <c r="H3">
        <v>-0.0211</v>
      </c>
      <c r="I3">
        <v>-0.0006</v>
      </c>
      <c r="J3">
        <v>-0.0886</v>
      </c>
      <c r="K3">
        <v>0.0186</v>
      </c>
      <c r="L3">
        <v>-0.0239</v>
      </c>
      <c r="M3">
        <v>-0.1536</v>
      </c>
      <c r="N3" s="5">
        <f t="shared" ref="N2:N17" si="0">(1+B3)*(1+C3)*(1+D3)*(1+E3)*(1+F3)*(1+G3)*(1+H3)*(1+I3)*(1+J3)*(1+K3)*(1+L3)*(1+M3)-1</f>
        <v>-0.0855664203647523</v>
      </c>
      <c r="O3">
        <v>2011</v>
      </c>
    </row>
    <row r="4" spans="1:15">
      <c r="A4">
        <v>2012</v>
      </c>
      <c r="B4">
        <v>0.0301</v>
      </c>
      <c r="C4">
        <v>0.0984</v>
      </c>
      <c r="D4">
        <v>-0.065</v>
      </c>
      <c r="E4">
        <v>0.0104</v>
      </c>
      <c r="F4">
        <v>0.0008</v>
      </c>
      <c r="G4">
        <v>-0.0436</v>
      </c>
      <c r="H4">
        <v>-0.1551</v>
      </c>
      <c r="I4">
        <v>0.0543</v>
      </c>
      <c r="J4">
        <v>0.019</v>
      </c>
      <c r="K4">
        <v>0.0012</v>
      </c>
      <c r="L4">
        <v>-0.0975</v>
      </c>
      <c r="M4">
        <v>0.2375</v>
      </c>
      <c r="N4" s="5">
        <f t="shared" si="0"/>
        <v>0.0384573958480514</v>
      </c>
      <c r="O4">
        <v>2012</v>
      </c>
    </row>
    <row r="5" spans="1:15">
      <c r="A5">
        <v>2013</v>
      </c>
      <c r="B5">
        <v>0.0057</v>
      </c>
      <c r="C5">
        <v>0.0547</v>
      </c>
      <c r="D5">
        <v>-0.0189</v>
      </c>
      <c r="E5">
        <v>-0.0003</v>
      </c>
      <c r="F5">
        <v>0.1792</v>
      </c>
      <c r="G5">
        <v>-0.1098</v>
      </c>
      <c r="H5">
        <v>0.1573</v>
      </c>
      <c r="I5">
        <v>0.1024</v>
      </c>
      <c r="J5">
        <v>0.0868</v>
      </c>
      <c r="K5">
        <v>-0.0176</v>
      </c>
      <c r="L5">
        <v>0.1627</v>
      </c>
      <c r="M5">
        <v>0.0207</v>
      </c>
      <c r="N5" s="5">
        <f t="shared" si="0"/>
        <v>0.765405002524292</v>
      </c>
      <c r="O5">
        <v>2013</v>
      </c>
    </row>
    <row r="6" spans="1:15">
      <c r="A6">
        <v>2014</v>
      </c>
      <c r="B6">
        <v>-0.0057</v>
      </c>
      <c r="C6">
        <v>0.0822</v>
      </c>
      <c r="D6">
        <v>0.0133</v>
      </c>
      <c r="E6">
        <v>0.0346</v>
      </c>
      <c r="F6">
        <v>0.0267</v>
      </c>
      <c r="G6">
        <v>0.2214</v>
      </c>
      <c r="H6">
        <v>0.1535</v>
      </c>
      <c r="I6">
        <v>0.1294</v>
      </c>
      <c r="J6">
        <v>0.2618</v>
      </c>
      <c r="K6">
        <v>0.044</v>
      </c>
      <c r="L6">
        <v>0.0477</v>
      </c>
      <c r="M6">
        <v>-0.1353</v>
      </c>
      <c r="N6" s="5">
        <f t="shared" si="0"/>
        <v>1.19935720490706</v>
      </c>
      <c r="O6">
        <v>2014</v>
      </c>
    </row>
    <row r="7" spans="1:15">
      <c r="A7">
        <v>2015</v>
      </c>
      <c r="B7">
        <v>0.0227</v>
      </c>
      <c r="C7">
        <v>0.0675</v>
      </c>
      <c r="D7">
        <v>0.2462</v>
      </c>
      <c r="E7">
        <v>0.079</v>
      </c>
      <c r="F7">
        <v>0.415</v>
      </c>
      <c r="G7">
        <v>0.0212</v>
      </c>
      <c r="H7">
        <v>0.3626</v>
      </c>
      <c r="I7">
        <v>0.283</v>
      </c>
      <c r="J7">
        <v>-0.0678</v>
      </c>
      <c r="K7">
        <v>0.2277</v>
      </c>
      <c r="L7">
        <v>0.3277</v>
      </c>
      <c r="M7">
        <v>0.2392</v>
      </c>
      <c r="N7" s="5">
        <f>(1+B7)*(1+C7)*(1+D7)*(1+E7)*(1+F7)*(1+G7)*(1+H7)*(1+I7)*(1+J7)*(1+K7)*(1+L7)*(1+M7)-1</f>
        <v>5.98281172803228</v>
      </c>
      <c r="O7">
        <v>2015</v>
      </c>
    </row>
    <row r="8" spans="1:15">
      <c r="A8">
        <v>2016</v>
      </c>
      <c r="B8">
        <v>-0.0084</v>
      </c>
      <c r="C8">
        <v>0.0011</v>
      </c>
      <c r="D8">
        <v>0.4005</v>
      </c>
      <c r="E8">
        <v>0.0084</v>
      </c>
      <c r="F8">
        <v>-0.0213</v>
      </c>
      <c r="G8">
        <v>0.1059</v>
      </c>
      <c r="H8">
        <v>0.0296</v>
      </c>
      <c r="I8">
        <v>0.0412</v>
      </c>
      <c r="J8">
        <v>0.0455</v>
      </c>
      <c r="K8">
        <v>0.0609</v>
      </c>
      <c r="L8">
        <v>0.0377</v>
      </c>
      <c r="M8">
        <v>0.12</v>
      </c>
      <c r="N8" s="5">
        <f t="shared" si="0"/>
        <v>1.09694188883488</v>
      </c>
      <c r="O8">
        <v>2016</v>
      </c>
    </row>
    <row r="9" spans="1:15">
      <c r="A9">
        <v>2017</v>
      </c>
      <c r="B9">
        <v>0.0177</v>
      </c>
      <c r="C9">
        <v>0.0514</v>
      </c>
      <c r="D9">
        <v>-0.0782</v>
      </c>
      <c r="E9">
        <v>0.0085</v>
      </c>
      <c r="F9">
        <v>-0.0614</v>
      </c>
      <c r="G9">
        <v>0.0901</v>
      </c>
      <c r="H9">
        <v>-0.0132</v>
      </c>
      <c r="I9">
        <v>0.1779</v>
      </c>
      <c r="J9">
        <v>0.0209</v>
      </c>
      <c r="K9">
        <v>-0.0084</v>
      </c>
      <c r="L9">
        <v>-0.0635</v>
      </c>
      <c r="M9">
        <v>-0.0392</v>
      </c>
      <c r="N9" s="5">
        <f t="shared" si="0"/>
        <v>0.0775695328691113</v>
      </c>
      <c r="O9">
        <v>2017</v>
      </c>
    </row>
    <row r="10" spans="1:15">
      <c r="A10">
        <v>2018</v>
      </c>
      <c r="B10">
        <v>0.0243</v>
      </c>
      <c r="C10">
        <v>0.0119</v>
      </c>
      <c r="D10">
        <v>0.1099</v>
      </c>
      <c r="E10">
        <v>0.0021</v>
      </c>
      <c r="F10">
        <v>0.0257</v>
      </c>
      <c r="G10">
        <v>-0.0844</v>
      </c>
      <c r="H10">
        <v>0.1728</v>
      </c>
      <c r="I10">
        <v>-0.071</v>
      </c>
      <c r="J10">
        <v>0.0614</v>
      </c>
      <c r="K10">
        <v>0.0711</v>
      </c>
      <c r="L10">
        <v>0.1498</v>
      </c>
      <c r="M10">
        <v>-0.0448</v>
      </c>
      <c r="N10" s="5">
        <f t="shared" si="0"/>
        <v>0.472825224873327</v>
      </c>
      <c r="O10">
        <v>2018</v>
      </c>
    </row>
    <row r="11" spans="1:15">
      <c r="A11">
        <v>2019</v>
      </c>
      <c r="B11">
        <v>0.0143</v>
      </c>
      <c r="C11">
        <v>0.1369</v>
      </c>
      <c r="D11">
        <v>0.1862</v>
      </c>
      <c r="E11">
        <v>0.0276</v>
      </c>
      <c r="F11">
        <v>0.0582</v>
      </c>
      <c r="G11">
        <v>0.0329</v>
      </c>
      <c r="H11">
        <v>-0.0096</v>
      </c>
      <c r="I11">
        <v>-0.0119</v>
      </c>
      <c r="J11">
        <v>0.0449</v>
      </c>
      <c r="K11">
        <v>-0.0117</v>
      </c>
      <c r="L11">
        <v>-0.0051</v>
      </c>
      <c r="M11">
        <v>0.1302</v>
      </c>
      <c r="N11" s="5">
        <f t="shared" si="0"/>
        <v>0.745848408003567</v>
      </c>
      <c r="O11">
        <v>2019</v>
      </c>
    </row>
    <row r="12" spans="1:15">
      <c r="A12">
        <v>2020</v>
      </c>
      <c r="B12">
        <v>0.0099</v>
      </c>
      <c r="C12">
        <v>0.0369</v>
      </c>
      <c r="D12">
        <v>0.0595</v>
      </c>
      <c r="E12">
        <v>0.0314</v>
      </c>
      <c r="F12">
        <v>0.0684</v>
      </c>
      <c r="G12">
        <v>0.0866</v>
      </c>
      <c r="H12">
        <v>0.0961</v>
      </c>
      <c r="I12">
        <v>0.1462</v>
      </c>
      <c r="J12">
        <v>-0.0312</v>
      </c>
      <c r="K12">
        <v>0.0274</v>
      </c>
      <c r="L12">
        <v>0.0181</v>
      </c>
      <c r="M12">
        <v>-0.112</v>
      </c>
      <c r="N12" s="5">
        <f t="shared" si="0"/>
        <v>0.501877778017195</v>
      </c>
      <c r="O12">
        <v>2020</v>
      </c>
    </row>
    <row r="13" spans="1:15">
      <c r="A13">
        <v>2021</v>
      </c>
      <c r="B13">
        <v>0.0077</v>
      </c>
      <c r="C13">
        <v>0.1271</v>
      </c>
      <c r="D13">
        <v>0.1564</v>
      </c>
      <c r="E13">
        <v>-0.0061</v>
      </c>
      <c r="F13">
        <v>0.0562</v>
      </c>
      <c r="G13">
        <v>0.0235</v>
      </c>
      <c r="H13">
        <v>-0.0538</v>
      </c>
      <c r="I13">
        <v>0.0861</v>
      </c>
      <c r="J13">
        <v>-0.0215</v>
      </c>
      <c r="K13">
        <v>-0.0512</v>
      </c>
      <c r="L13">
        <v>0.1091</v>
      </c>
      <c r="M13">
        <v>0.1123</v>
      </c>
      <c r="N13" s="5">
        <f t="shared" si="0"/>
        <v>0.660960857965097</v>
      </c>
      <c r="O13">
        <v>2021</v>
      </c>
    </row>
    <row r="14" spans="1:15">
      <c r="A14">
        <v>2022</v>
      </c>
      <c r="B14">
        <v>-0.0016</v>
      </c>
      <c r="C14">
        <v>0.0797</v>
      </c>
      <c r="D14">
        <v>0.0547</v>
      </c>
      <c r="E14">
        <v>-0.0187</v>
      </c>
      <c r="F14">
        <v>0.2725</v>
      </c>
      <c r="G14">
        <v>0.1417</v>
      </c>
      <c r="H14">
        <v>0.2166</v>
      </c>
      <c r="I14">
        <v>0.1873</v>
      </c>
      <c r="J14">
        <v>0.0367</v>
      </c>
      <c r="K14">
        <v>0.0711</v>
      </c>
      <c r="L14">
        <v>0.1051</v>
      </c>
      <c r="M14">
        <v>0.0431</v>
      </c>
      <c r="N14" s="5">
        <f t="shared" si="0"/>
        <v>1.99686467587207</v>
      </c>
      <c r="O14">
        <v>2022</v>
      </c>
    </row>
    <row r="15" spans="1:15">
      <c r="A15">
        <v>2023</v>
      </c>
      <c r="B15">
        <v>0.0148</v>
      </c>
      <c r="C15">
        <v>0.0113</v>
      </c>
      <c r="D15">
        <v>-0.0182</v>
      </c>
      <c r="E15">
        <v>0.0234</v>
      </c>
      <c r="F15">
        <v>0.0327</v>
      </c>
      <c r="G15">
        <v>0.047</v>
      </c>
      <c r="H15">
        <v>0.1586</v>
      </c>
      <c r="I15">
        <v>-0.021</v>
      </c>
      <c r="J15">
        <v>0.024</v>
      </c>
      <c r="K15">
        <v>0.0474</v>
      </c>
      <c r="L15">
        <v>0.1049</v>
      </c>
      <c r="M15">
        <v>-0.0024</v>
      </c>
      <c r="N15" s="5">
        <f t="shared" si="0"/>
        <v>0.495057586521658</v>
      </c>
      <c r="O15">
        <v>2023</v>
      </c>
    </row>
    <row r="16" spans="1:15">
      <c r="A16">
        <v>2024</v>
      </c>
      <c r="B16">
        <v>0.0587</v>
      </c>
      <c r="C16">
        <v>0.1895</v>
      </c>
      <c r="D16">
        <v>0.2207</v>
      </c>
      <c r="E16">
        <v>0.0343</v>
      </c>
      <c r="F16">
        <v>-0.0156</v>
      </c>
      <c r="G16">
        <v>-0.1354</v>
      </c>
      <c r="H16">
        <v>0.1169</v>
      </c>
      <c r="I16">
        <v>0.1481</v>
      </c>
      <c r="J16">
        <v>0.2549</v>
      </c>
      <c r="K16">
        <v>0.2231</v>
      </c>
      <c r="L16">
        <v>0.1335</v>
      </c>
      <c r="M16">
        <v>0.0415</v>
      </c>
      <c r="N16" s="5">
        <f t="shared" si="0"/>
        <v>2.14431144891796</v>
      </c>
      <c r="O16">
        <v>2024</v>
      </c>
    </row>
    <row r="17" spans="1:15">
      <c r="A17">
        <v>2025</v>
      </c>
      <c r="B17">
        <v>-0.0074</v>
      </c>
      <c r="C17">
        <v>0.2489</v>
      </c>
      <c r="D17">
        <v>-0.0711</v>
      </c>
      <c r="E17">
        <v>0.0526</v>
      </c>
      <c r="F17">
        <v>0.0431</v>
      </c>
      <c r="G17">
        <v>0.1423</v>
      </c>
      <c r="H17">
        <v>0.0876</v>
      </c>
      <c r="I17">
        <v>-0.0326</v>
      </c>
      <c r="J17">
        <v>0.1218</v>
      </c>
      <c r="K17">
        <v>0.0044</v>
      </c>
      <c r="L17">
        <v>0.0793</v>
      </c>
      <c r="M17">
        <v>-0.0685</v>
      </c>
      <c r="N17" s="5">
        <f t="shared" si="0"/>
        <v>0.721324876500654</v>
      </c>
      <c r="O17">
        <v>2025</v>
      </c>
    </row>
    <row r="18" ht="14.75" spans="1:14">
      <c r="A18" t="s">
        <v>13</v>
      </c>
      <c r="B18" s="2" cm="1">
        <f t="array" ref="B18">PRODUCT(B2:B17+1)-1</f>
        <v>0.194840242744342</v>
      </c>
      <c r="C18" s="3" cm="1">
        <f t="array" ref="C18">PRODUCT(C2:C17+1)-1</f>
        <v>2.74859148623959</v>
      </c>
      <c r="D18" s="3" cm="1">
        <f t="array" ref="D18">PRODUCT(D2:D17+1)-1</f>
        <v>2.22374556844742</v>
      </c>
      <c r="E18" s="4" cm="1">
        <f t="array" ref="E18">PRODUCT(E2:E17+1)-1</f>
        <v>0.323510793037694</v>
      </c>
      <c r="F18" s="4" cm="1">
        <f t="array" ref="F18">PRODUCT(F2:F17+1)-1</f>
        <v>1.28723547337183</v>
      </c>
      <c r="G18" s="4" cm="1">
        <f t="array" ref="G18">PRODUCT(G2:G17+1)-1</f>
        <v>0.595591661283158</v>
      </c>
      <c r="H18" s="3" cm="1">
        <f t="array" ref="H18">PRODUCT(H2:H17+1)-1</f>
        <v>2.77618998463726</v>
      </c>
      <c r="I18" s="3" cm="1">
        <f t="array" ref="I18">PRODUCT(I2:I17+1)-1</f>
        <v>2.44214606607075</v>
      </c>
      <c r="J18" s="3" cm="1">
        <f t="array" ref="J18">PRODUCT(J2:J17+1)-1</f>
        <v>1.20998365758364</v>
      </c>
      <c r="K18" s="3" cm="1">
        <f t="array" ref="K18">PRODUCT(K2:K17+1)-1</f>
        <v>1.1322825420196</v>
      </c>
      <c r="L18" s="3" cm="1">
        <f t="array" ref="L18">PRODUCT(L2:L17+1)-1</f>
        <v>1.69541069581852</v>
      </c>
      <c r="M18" s="3" cm="1">
        <f t="array" ref="M18">PRODUCT(M2:M17+1)-1</f>
        <v>0.299575907581825</v>
      </c>
      <c r="N18" s="5"/>
    </row>
    <row r="19" spans="2:13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</row>
    <row r="20" spans="1:13">
      <c r="A20" t="s">
        <v>14</v>
      </c>
      <c r="B20">
        <f>COUNTIF(B2:B17,"&lt;0")</f>
        <v>5</v>
      </c>
      <c r="C20">
        <f t="shared" ref="B20:M20" si="1">COUNTIF(C2:C17,"&lt;0")</f>
        <v>0</v>
      </c>
      <c r="D20">
        <f t="shared" si="1"/>
        <v>5</v>
      </c>
      <c r="E20">
        <f t="shared" si="1"/>
        <v>4</v>
      </c>
      <c r="F20">
        <f t="shared" si="1"/>
        <v>5</v>
      </c>
      <c r="G20">
        <f t="shared" si="1"/>
        <v>5</v>
      </c>
      <c r="H20">
        <f t="shared" si="1"/>
        <v>5</v>
      </c>
      <c r="I20">
        <f t="shared" si="1"/>
        <v>5</v>
      </c>
      <c r="J20">
        <f t="shared" si="1"/>
        <v>4</v>
      </c>
      <c r="K20">
        <f t="shared" si="1"/>
        <v>4</v>
      </c>
      <c r="L20">
        <f t="shared" si="1"/>
        <v>4</v>
      </c>
      <c r="M20">
        <f t="shared" si="1"/>
        <v>8</v>
      </c>
    </row>
    <row r="21" spans="1:13">
      <c r="A21" t="s">
        <v>15</v>
      </c>
      <c r="B21">
        <f>COUNTIF(B2:B17,"&gt;0.1")</f>
        <v>0</v>
      </c>
      <c r="C21">
        <f t="shared" ref="C21:M21" si="2">COUNTIF(C2:C17,"&gt;0.1")</f>
        <v>5</v>
      </c>
      <c r="D21">
        <f t="shared" si="2"/>
        <v>6</v>
      </c>
      <c r="E21">
        <f t="shared" si="2"/>
        <v>0</v>
      </c>
      <c r="F21">
        <f t="shared" si="2"/>
        <v>3</v>
      </c>
      <c r="G21">
        <f t="shared" si="2"/>
        <v>4</v>
      </c>
      <c r="H21">
        <f t="shared" si="2"/>
        <v>8</v>
      </c>
      <c r="I21">
        <f t="shared" si="2"/>
        <v>8</v>
      </c>
      <c r="J21">
        <f t="shared" si="2"/>
        <v>4</v>
      </c>
      <c r="K21">
        <f t="shared" si="2"/>
        <v>3</v>
      </c>
      <c r="L21">
        <f t="shared" si="2"/>
        <v>7</v>
      </c>
      <c r="M21">
        <f t="shared" si="2"/>
        <v>5</v>
      </c>
    </row>
  </sheetData>
  <conditionalFormatting sqref="B18:M18">
    <cfRule type="expression" dxfId="0" priority="3">
      <formula>B18&gt;2</formula>
    </cfRule>
    <cfRule type="expression" dxfId="1" priority="2">
      <formula>B18&lt;2</formula>
    </cfRule>
  </conditionalFormatting>
  <conditionalFormatting sqref="N2:N18">
    <cfRule type="expression" dxfId="4" priority="1">
      <formula>N2&gt;1.5</formula>
    </cfRule>
  </conditionalFormatting>
  <conditionalFormatting sqref="B2:M18">
    <cfRule type="expression" dxfId="3" priority="6">
      <formula>B2&gt;0.1</formula>
    </cfRule>
    <cfRule type="expression" dxfId="2" priority="5">
      <formula>B2&lt;0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风柳清</dc:creator>
  <cp:lastModifiedBy>风柳清</cp:lastModifiedBy>
  <dcterms:created xsi:type="dcterms:W3CDTF">2023-05-12T11:15:00Z</dcterms:created>
  <dcterms:modified xsi:type="dcterms:W3CDTF">2026-03-28T06:56:31Z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F474FED7BF7641499CC3BC440BB3AF2F_12</vt:lpwstr>
  </property>
</Properties>
</file>