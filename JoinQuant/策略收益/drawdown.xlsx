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ock\test_stock\socket\JoinQuant\策略收益\"/>
    </mc:Choice>
  </mc:AlternateContent>
  <bookViews>
    <workbookView windowWidth="22188" windowHeight="9780" activeTab="4"/>
  </bookViews>
  <sheets>
    <sheet name="all_weather" sheetId="1" r:id="rId1"/>
    <sheet name="all_weather_bond" sheetId="2" r:id="rId2"/>
    <sheet name="ETF轮动" sheetId="3" r:id="rId3"/>
    <sheet name="small_cap" sheetId="4" r:id="rId4"/>
    <sheet name="仓位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<sst xmlns="http://schemas.openxmlformats.org/spreadsheetml/2006/main" count="87" uniqueCount="8">
  <si>
    <t>NaN</t>
  </si>
  <si>
    <t>历年回撤均值</t>
  </si>
  <si>
    <t>all_weather</t>
  </si>
  <si>
    <t>all_weather_bond</t>
  </si>
  <si>
    <t>ETF轮动</t>
  </si>
  <si>
    <t>small_cap</t>
  </si>
  <si>
    <t>最近一年回撤</t>
  </si>
  <si>
    <t>历年最大回撤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</si>
</sst>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0.5"/>
      <color rgb="FF222222"/>
      <name val="Verdana"/>
      <charset val="134"/>
    </font>
    <font>
      <sz val="10.5"/>
      <color rgb="FF363636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E8ECF0"/>
      </top>
      <bottom/>
      <diagonal/>
    </border>
    <border>
      <left/>
      <right/>
      <top style="medium">
        <color rgb="FFBDCDE1"/>
      </top>
      <bottom style="medium">
        <color rgb="FFBDCD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3" applyNumberFormat="1">
      <alignment vertical="center"/>
    </xf>
    <xf numFmtId="177" fontId="0" fillId="0" borderId="0" xfId="0" applyNumberFormat="1">
      <alignment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topLeftCell="A103" workbookViewId="0">
      <selection activeCell="F130" sqref="F130"/>
    </sheetView>
  </sheetViews>
  <sheetFormatPr defaultColWidth="8.88888888888889" defaultRowHeight="14.4" outlineLevelCol="5"/>
  <cols>
    <col min="2" max="2" width="12.8888888888889"/>
    <col min="3" max="4" width="9"/>
  </cols>
  <sheetData>
    <row r="1" ht="15.15" spans="1:5">
      <c r="B1">
        <v>1</v>
      </c>
      <c r="C1">
        <v>3</v>
      </c>
      <c r="D1">
        <v>6</v>
      </c>
      <c r="E1">
        <v>12</v>
      </c>
    </row>
    <row r="2" ht="14.55" spans="1:5">
      <c r="A2" s="4">
        <v>42370</v>
      </c>
      <c r="B2" s="5">
        <v>0.2019</v>
      </c>
      <c r="C2" s="5" t="s">
        <v>0</v>
      </c>
      <c r="D2" s="5" t="s">
        <v>0</v>
      </c>
      <c r="E2" s="5" t="s">
        <v>0</v>
      </c>
    </row>
    <row r="3" ht="15.15" spans="1:5">
      <c r="A3" s="4">
        <v>42401</v>
      </c>
      <c r="B3" s="5">
        <v>0.0608</v>
      </c>
      <c r="C3" s="5" t="s">
        <v>0</v>
      </c>
      <c r="D3" s="5" t="s">
        <v>0</v>
      </c>
      <c r="E3" s="5" t="s">
        <v>0</v>
      </c>
    </row>
    <row r="4" ht="15.15" spans="1:5">
      <c r="A4" s="4">
        <v>42430</v>
      </c>
      <c r="B4" s="5">
        <v>0.0668</v>
      </c>
      <c r="C4" s="5">
        <v>0.2019</v>
      </c>
      <c r="D4" s="5" t="s">
        <v>0</v>
      </c>
      <c r="E4" s="5" t="s">
        <v>0</v>
      </c>
    </row>
    <row r="5" ht="15.15" spans="1:5">
      <c r="A5" s="4">
        <v>42461</v>
      </c>
      <c r="B5" s="5">
        <v>0.0401</v>
      </c>
      <c r="C5" s="5">
        <v>0.0668</v>
      </c>
      <c r="D5" s="5" t="s">
        <v>0</v>
      </c>
      <c r="E5" s="5" t="s">
        <v>0</v>
      </c>
    </row>
    <row r="6" ht="15.15" spans="1:5">
      <c r="A6" s="4">
        <v>42491</v>
      </c>
      <c r="B6" s="5">
        <v>0.0738</v>
      </c>
      <c r="C6" s="5">
        <v>0.0738</v>
      </c>
      <c r="D6" s="5" t="s">
        <v>0</v>
      </c>
      <c r="E6" s="5" t="s">
        <v>0</v>
      </c>
    </row>
    <row r="7" ht="15.15" spans="1:5">
      <c r="A7" s="4">
        <v>42522</v>
      </c>
      <c r="B7" s="5">
        <v>0.0196</v>
      </c>
      <c r="C7" s="5">
        <v>0.0738</v>
      </c>
      <c r="D7" s="5">
        <v>0.2019</v>
      </c>
      <c r="E7" s="5" t="s">
        <v>0</v>
      </c>
    </row>
    <row r="8" ht="15.15" spans="1:5">
      <c r="A8" s="4">
        <v>42552</v>
      </c>
      <c r="B8" s="5">
        <v>0.0459</v>
      </c>
      <c r="C8" s="5">
        <v>0.0738</v>
      </c>
      <c r="D8" s="5">
        <v>0.0738</v>
      </c>
      <c r="E8" s="5" t="s">
        <v>0</v>
      </c>
    </row>
    <row r="9" ht="15.15" spans="1:5">
      <c r="A9" s="4">
        <v>42583</v>
      </c>
      <c r="B9" s="5">
        <v>0.0435</v>
      </c>
      <c r="C9" s="5">
        <v>0.0459</v>
      </c>
      <c r="D9" s="5">
        <v>0.0738</v>
      </c>
      <c r="E9" s="5" t="s">
        <v>0</v>
      </c>
    </row>
    <row r="10" ht="15.15" spans="1:5">
      <c r="A10" s="4">
        <v>42614</v>
      </c>
      <c r="B10" s="5">
        <v>0.0612</v>
      </c>
      <c r="C10" s="5">
        <v>0.0786</v>
      </c>
      <c r="D10" s="5">
        <v>0.0786</v>
      </c>
      <c r="E10" s="5" t="s">
        <v>0</v>
      </c>
    </row>
    <row r="11" ht="15.15" spans="1:5">
      <c r="A11" s="4">
        <v>42644</v>
      </c>
      <c r="B11" s="5">
        <v>0.036</v>
      </c>
      <c r="C11" s="5">
        <v>0.0784</v>
      </c>
      <c r="D11" s="5">
        <v>0.0786</v>
      </c>
      <c r="E11" s="5" t="s">
        <v>0</v>
      </c>
    </row>
    <row r="12" ht="15.15" spans="1:5">
      <c r="A12" s="4">
        <v>42675</v>
      </c>
      <c r="B12" s="5">
        <v>0.0645</v>
      </c>
      <c r="C12" s="5">
        <v>0.0645</v>
      </c>
      <c r="D12" s="5">
        <v>0.0786</v>
      </c>
      <c r="E12" s="5" t="s">
        <v>0</v>
      </c>
    </row>
    <row r="13" ht="15.15" spans="1:5">
      <c r="A13" s="4">
        <v>42705</v>
      </c>
      <c r="B13" s="5">
        <v>0.0814</v>
      </c>
      <c r="C13" s="5">
        <v>0.13</v>
      </c>
      <c r="D13" s="5">
        <v>0.13</v>
      </c>
      <c r="E13" s="5">
        <v>0.2019</v>
      </c>
    </row>
    <row r="14" ht="15.15" spans="1:5">
      <c r="A14" s="4">
        <v>42736</v>
      </c>
      <c r="B14" s="5">
        <v>0.0053</v>
      </c>
      <c r="C14" s="5">
        <v>0.13</v>
      </c>
      <c r="D14" s="5">
        <v>0.13</v>
      </c>
      <c r="E14" s="5">
        <v>0.13</v>
      </c>
    </row>
    <row r="15" ht="15.15" spans="1:5">
      <c r="A15" s="4">
        <v>42767</v>
      </c>
      <c r="B15" s="5">
        <v>0.0315</v>
      </c>
      <c r="C15" s="5">
        <v>0.0814</v>
      </c>
      <c r="D15" s="5">
        <v>0.13</v>
      </c>
      <c r="E15" s="5">
        <v>0.13</v>
      </c>
    </row>
    <row r="16" ht="15.15" spans="1:5">
      <c r="A16" s="4">
        <v>42795</v>
      </c>
      <c r="B16" s="5">
        <v>0.0223</v>
      </c>
      <c r="C16" s="5">
        <v>0.0315</v>
      </c>
      <c r="D16" s="5">
        <v>0.13</v>
      </c>
      <c r="E16" s="5">
        <v>0.13</v>
      </c>
    </row>
    <row r="17" ht="15.15" spans="1:5">
      <c r="A17" s="4">
        <v>42826</v>
      </c>
      <c r="B17" s="5">
        <v>0.0541</v>
      </c>
      <c r="C17" s="5">
        <v>0.0541</v>
      </c>
      <c r="D17" s="5">
        <v>0.13</v>
      </c>
      <c r="E17" s="5">
        <v>0.13</v>
      </c>
    </row>
    <row r="18" ht="15.15" spans="1:5">
      <c r="A18" s="4">
        <v>42856</v>
      </c>
      <c r="B18" s="5">
        <v>0.0386</v>
      </c>
      <c r="C18" s="5">
        <v>0.0767</v>
      </c>
      <c r="D18" s="5">
        <v>0.0814</v>
      </c>
      <c r="E18" s="5">
        <v>0.13</v>
      </c>
    </row>
    <row r="19" ht="15.15" spans="1:5">
      <c r="A19" s="4">
        <v>42887</v>
      </c>
      <c r="B19" s="5">
        <v>0.019</v>
      </c>
      <c r="C19" s="5">
        <v>0.0767</v>
      </c>
      <c r="D19" s="5">
        <v>0.0767</v>
      </c>
      <c r="E19" s="5">
        <v>0.13</v>
      </c>
    </row>
    <row r="20" ht="15.15" spans="1:5">
      <c r="A20" s="4">
        <v>42917</v>
      </c>
      <c r="B20" s="5">
        <v>0.0181</v>
      </c>
      <c r="C20" s="5">
        <v>0.0386</v>
      </c>
      <c r="D20" s="5">
        <v>0.0767</v>
      </c>
      <c r="E20" s="5">
        <v>0.13</v>
      </c>
    </row>
    <row r="21" ht="15.15" spans="1:5">
      <c r="A21" s="4">
        <v>42948</v>
      </c>
      <c r="B21" s="5">
        <v>0.0535</v>
      </c>
      <c r="C21" s="5">
        <v>0.0535</v>
      </c>
      <c r="D21" s="5">
        <v>0.0767</v>
      </c>
      <c r="E21" s="5">
        <v>0.13</v>
      </c>
    </row>
    <row r="22" ht="15.15" spans="1:5">
      <c r="A22" s="4">
        <v>42979</v>
      </c>
      <c r="B22" s="5">
        <v>0.0484</v>
      </c>
      <c r="C22" s="5">
        <v>0.0535</v>
      </c>
      <c r="D22" s="5">
        <v>0.0767</v>
      </c>
      <c r="E22" s="5">
        <v>0.13</v>
      </c>
    </row>
    <row r="23" ht="15.15" spans="1:5">
      <c r="A23" s="4">
        <v>43009</v>
      </c>
      <c r="B23" s="5">
        <v>0.0465</v>
      </c>
      <c r="C23" s="5">
        <v>0.0753</v>
      </c>
      <c r="D23" s="5">
        <v>0.0753</v>
      </c>
      <c r="E23" s="5">
        <v>0.13</v>
      </c>
    </row>
    <row r="24" ht="15.15" spans="1:5">
      <c r="A24" s="4">
        <v>43040</v>
      </c>
      <c r="B24" s="5">
        <v>0.0285</v>
      </c>
      <c r="C24" s="5">
        <v>0.0931</v>
      </c>
      <c r="D24" s="5">
        <v>0.0931</v>
      </c>
      <c r="E24" s="5">
        <v>0.0931</v>
      </c>
    </row>
    <row r="25" ht="15.15" spans="1:5">
      <c r="A25" s="4">
        <v>43070</v>
      </c>
      <c r="B25" s="5">
        <v>0.04</v>
      </c>
      <c r="C25" s="5">
        <v>0.0649</v>
      </c>
      <c r="D25" s="5">
        <v>0.0931</v>
      </c>
      <c r="E25" s="5">
        <v>0.0931</v>
      </c>
    </row>
    <row r="26" ht="15.15" spans="1:5">
      <c r="A26" s="4">
        <v>43101</v>
      </c>
      <c r="B26" s="5">
        <v>0.0231</v>
      </c>
      <c r="C26" s="5">
        <v>0.0459</v>
      </c>
      <c r="D26" s="5">
        <v>0.0931</v>
      </c>
      <c r="E26" s="5">
        <v>0.0931</v>
      </c>
    </row>
    <row r="27" ht="15.15" spans="1:5">
      <c r="A27" s="4">
        <v>43132</v>
      </c>
      <c r="B27" s="5">
        <v>0.0892</v>
      </c>
      <c r="C27" s="5">
        <v>0.0892</v>
      </c>
      <c r="D27" s="5">
        <v>0.0931</v>
      </c>
      <c r="E27" s="5">
        <v>0.0931</v>
      </c>
    </row>
    <row r="28" ht="15.15" spans="1:5">
      <c r="A28" s="4">
        <v>43160</v>
      </c>
      <c r="B28" s="5">
        <v>0.0744</v>
      </c>
      <c r="C28" s="5">
        <v>0.1241</v>
      </c>
      <c r="D28" s="5">
        <v>0.1241</v>
      </c>
      <c r="E28" s="5">
        <v>0.1241</v>
      </c>
    </row>
    <row r="29" ht="15.15" spans="1:5">
      <c r="A29" s="4">
        <v>43191</v>
      </c>
      <c r="B29" s="5">
        <v>0.0504</v>
      </c>
      <c r="C29" s="5">
        <v>0.1507</v>
      </c>
      <c r="D29" s="5">
        <v>0.1507</v>
      </c>
      <c r="E29" s="5">
        <v>0.1507</v>
      </c>
    </row>
    <row r="30" ht="15.15" spans="1:5">
      <c r="A30" s="4">
        <v>43221</v>
      </c>
      <c r="B30" s="5">
        <v>0.0543</v>
      </c>
      <c r="C30" s="5">
        <v>0.1034</v>
      </c>
      <c r="D30" s="5">
        <v>0.1515</v>
      </c>
      <c r="E30" s="5">
        <v>0.1515</v>
      </c>
    </row>
    <row r="31" ht="15.15" spans="1:5">
      <c r="A31" s="4">
        <v>43252</v>
      </c>
      <c r="B31" s="5">
        <v>0.0756</v>
      </c>
      <c r="C31" s="5">
        <v>0.0773</v>
      </c>
      <c r="D31" s="5">
        <v>0.1722</v>
      </c>
      <c r="E31" s="5">
        <v>0.1722</v>
      </c>
    </row>
    <row r="32" ht="15.15" spans="1:5">
      <c r="A32" s="4">
        <v>43282</v>
      </c>
      <c r="B32" s="5">
        <v>0.042</v>
      </c>
      <c r="C32" s="5">
        <v>0.1021</v>
      </c>
      <c r="D32" s="5">
        <v>0.1945</v>
      </c>
      <c r="E32" s="5">
        <v>0.1945</v>
      </c>
    </row>
    <row r="33" ht="15.15" spans="1:5">
      <c r="A33" s="4">
        <v>43313</v>
      </c>
      <c r="B33" s="5">
        <v>0.0382</v>
      </c>
      <c r="C33" s="5">
        <v>0.1005</v>
      </c>
      <c r="D33" s="5">
        <v>0.1488</v>
      </c>
      <c r="E33" s="5">
        <v>0.1945</v>
      </c>
    </row>
    <row r="34" ht="15.15" spans="1:5">
      <c r="A34" s="4">
        <v>43344</v>
      </c>
      <c r="B34" s="5">
        <v>0.0168</v>
      </c>
      <c r="C34" s="5">
        <v>0.0495</v>
      </c>
      <c r="D34" s="5">
        <v>0.1021</v>
      </c>
      <c r="E34" s="5">
        <v>0.1945</v>
      </c>
    </row>
    <row r="35" ht="15.15" spans="1:5">
      <c r="A35" s="4">
        <v>43374</v>
      </c>
      <c r="B35" s="5">
        <v>0.0528</v>
      </c>
      <c r="C35" s="5">
        <v>0.0551</v>
      </c>
      <c r="D35" s="5">
        <v>0.1021</v>
      </c>
      <c r="E35" s="5">
        <v>0.1945</v>
      </c>
    </row>
    <row r="36" ht="15.15" spans="1:5">
      <c r="A36" s="4">
        <v>43405</v>
      </c>
      <c r="B36" s="5">
        <v>0.0627</v>
      </c>
      <c r="C36" s="5">
        <v>0.0937</v>
      </c>
      <c r="D36" s="5">
        <v>0.1005</v>
      </c>
      <c r="E36" s="5">
        <v>0.1945</v>
      </c>
    </row>
    <row r="37" ht="15.15" spans="1:5">
      <c r="A37" s="4">
        <v>43435</v>
      </c>
      <c r="B37" s="5">
        <v>0.0359</v>
      </c>
      <c r="C37" s="5">
        <v>0.0959</v>
      </c>
      <c r="D37" s="5">
        <v>0.0982</v>
      </c>
      <c r="E37" s="5">
        <v>0.1945</v>
      </c>
    </row>
    <row r="38" ht="15.15" spans="1:5">
      <c r="A38" s="4">
        <v>43466</v>
      </c>
      <c r="B38" s="5">
        <v>0.0317</v>
      </c>
      <c r="C38" s="5">
        <v>0.0913</v>
      </c>
      <c r="D38" s="5">
        <v>0.1214</v>
      </c>
      <c r="E38" s="5">
        <v>0.204</v>
      </c>
    </row>
    <row r="39" ht="15.15" spans="1:5">
      <c r="A39" s="4">
        <v>43497</v>
      </c>
      <c r="B39" s="5">
        <v>0.0131</v>
      </c>
      <c r="C39" s="5">
        <v>0.0607</v>
      </c>
      <c r="D39" s="5">
        <v>0.1214</v>
      </c>
      <c r="E39" s="5">
        <v>0.1589</v>
      </c>
    </row>
    <row r="40" ht="15.15" spans="1:5">
      <c r="A40" s="4">
        <v>43525</v>
      </c>
      <c r="B40" s="5">
        <v>0.0388</v>
      </c>
      <c r="C40" s="5">
        <v>0.0388</v>
      </c>
      <c r="D40" s="5">
        <v>0.1192</v>
      </c>
      <c r="E40" s="5">
        <v>0.1214</v>
      </c>
    </row>
    <row r="41" ht="15.15" spans="1:5">
      <c r="A41" s="4">
        <v>43556</v>
      </c>
      <c r="B41" s="5">
        <v>0.0385</v>
      </c>
      <c r="C41" s="5">
        <v>0.0388</v>
      </c>
      <c r="D41" s="5">
        <v>0.0913</v>
      </c>
      <c r="E41" s="5">
        <v>0.1214</v>
      </c>
    </row>
    <row r="42" ht="15.15" spans="1:5">
      <c r="A42" s="4">
        <v>43586</v>
      </c>
      <c r="B42" s="5">
        <v>0.0471</v>
      </c>
      <c r="C42" s="5">
        <v>0.0789</v>
      </c>
      <c r="D42" s="5">
        <v>0.0789</v>
      </c>
      <c r="E42" s="5">
        <v>0.1214</v>
      </c>
    </row>
    <row r="43" ht="15.15" spans="1:5">
      <c r="A43" s="4">
        <v>43617</v>
      </c>
      <c r="B43" s="5">
        <v>0.0215</v>
      </c>
      <c r="C43" s="5">
        <v>0.0789</v>
      </c>
      <c r="D43" s="5">
        <v>0.0789</v>
      </c>
      <c r="E43" s="5">
        <v>0.1214</v>
      </c>
    </row>
    <row r="44" ht="15.15" spans="1:5">
      <c r="A44" s="4">
        <v>43647</v>
      </c>
      <c r="B44" s="5">
        <v>0.0237</v>
      </c>
      <c r="C44" s="5">
        <v>0.0471</v>
      </c>
      <c r="D44" s="5">
        <v>0.0789</v>
      </c>
      <c r="E44" s="5">
        <v>0.1214</v>
      </c>
    </row>
    <row r="45" ht="15.15" spans="1:5">
      <c r="A45" s="4">
        <v>43678</v>
      </c>
      <c r="B45" s="5">
        <v>0.0299</v>
      </c>
      <c r="C45" s="5">
        <v>0.0299</v>
      </c>
      <c r="D45" s="5">
        <v>0.0789</v>
      </c>
      <c r="E45" s="5">
        <v>0.1214</v>
      </c>
    </row>
    <row r="46" ht="15.15" spans="1:5">
      <c r="A46" s="4">
        <v>43709</v>
      </c>
      <c r="B46" s="5">
        <v>0.0429</v>
      </c>
      <c r="C46" s="5">
        <v>0.0615</v>
      </c>
      <c r="D46" s="5">
        <v>0.0789</v>
      </c>
      <c r="E46" s="5">
        <v>0.1192</v>
      </c>
    </row>
    <row r="47" ht="15.15" spans="1:5">
      <c r="A47" s="4">
        <v>43739</v>
      </c>
      <c r="B47" s="5">
        <v>0.0153</v>
      </c>
      <c r="C47" s="5">
        <v>0.0615</v>
      </c>
      <c r="D47" s="5">
        <v>0.0615</v>
      </c>
      <c r="E47" s="5">
        <v>0.0913</v>
      </c>
    </row>
    <row r="48" ht="15.15" spans="1:5">
      <c r="A48" s="4">
        <v>43770</v>
      </c>
      <c r="B48" s="5">
        <v>0.0297</v>
      </c>
      <c r="C48" s="5">
        <v>0.0429</v>
      </c>
      <c r="D48" s="5">
        <v>0.0615</v>
      </c>
      <c r="E48" s="5">
        <v>0.0789</v>
      </c>
    </row>
    <row r="49" ht="15.15" spans="1:5">
      <c r="A49" s="4">
        <v>43800</v>
      </c>
      <c r="B49" s="5">
        <v>0.0125</v>
      </c>
      <c r="C49" s="5">
        <v>0.0297</v>
      </c>
      <c r="D49" s="5">
        <v>0.0615</v>
      </c>
      <c r="E49" s="5">
        <v>0.0789</v>
      </c>
    </row>
    <row r="50" ht="15.15" spans="1:5">
      <c r="A50" s="4">
        <v>43831</v>
      </c>
      <c r="B50" s="5">
        <v>0.0683</v>
      </c>
      <c r="C50" s="5">
        <v>0.0683</v>
      </c>
      <c r="D50" s="5">
        <v>0.0683</v>
      </c>
      <c r="E50" s="5">
        <v>0.0789</v>
      </c>
    </row>
    <row r="51" ht="15.15" spans="1:5">
      <c r="A51" s="4">
        <v>43862</v>
      </c>
      <c r="B51" s="5">
        <v>0.0686</v>
      </c>
      <c r="C51" s="5">
        <v>0.1322</v>
      </c>
      <c r="D51" s="5">
        <v>0.1322</v>
      </c>
      <c r="E51" s="5">
        <v>0.1322</v>
      </c>
    </row>
    <row r="52" ht="15.15" spans="1:5">
      <c r="A52" s="4">
        <v>43891</v>
      </c>
      <c r="B52" s="5">
        <v>0.1654</v>
      </c>
      <c r="C52" s="5">
        <v>0.2218</v>
      </c>
      <c r="D52" s="5">
        <v>0.2218</v>
      </c>
      <c r="E52" s="5">
        <v>0.2218</v>
      </c>
    </row>
    <row r="53" ht="15.15" spans="1:5">
      <c r="A53" s="4">
        <v>43922</v>
      </c>
      <c r="B53" s="5">
        <v>0.0156</v>
      </c>
      <c r="C53" s="5">
        <v>0.1835</v>
      </c>
      <c r="D53" s="5">
        <v>0.2218</v>
      </c>
      <c r="E53" s="5">
        <v>0.2218</v>
      </c>
    </row>
    <row r="54" ht="15.15" spans="1:5">
      <c r="A54" s="4">
        <v>43952</v>
      </c>
      <c r="B54" s="5">
        <v>0.0369</v>
      </c>
      <c r="C54" s="5">
        <v>0.1654</v>
      </c>
      <c r="D54" s="5">
        <v>0.2218</v>
      </c>
      <c r="E54" s="5">
        <v>0.2218</v>
      </c>
    </row>
    <row r="55" ht="15.15" spans="1:5">
      <c r="A55" s="4">
        <v>43983</v>
      </c>
      <c r="B55" s="5">
        <v>0.0305</v>
      </c>
      <c r="C55" s="5">
        <v>0.0369</v>
      </c>
      <c r="D55" s="5">
        <v>0.2218</v>
      </c>
      <c r="E55" s="5">
        <v>0.2218</v>
      </c>
    </row>
    <row r="56" ht="15.15" spans="1:5">
      <c r="A56" s="4">
        <v>44013</v>
      </c>
      <c r="B56" s="5">
        <v>0.0221</v>
      </c>
      <c r="C56" s="5">
        <v>0.0369</v>
      </c>
      <c r="D56" s="5">
        <v>0.1835</v>
      </c>
      <c r="E56" s="5">
        <v>0.2218</v>
      </c>
    </row>
    <row r="57" ht="15.15" spans="1:5">
      <c r="A57" s="4">
        <v>44044</v>
      </c>
      <c r="B57" s="5">
        <v>0.0209</v>
      </c>
      <c r="C57" s="5">
        <v>0.0305</v>
      </c>
      <c r="D57" s="5">
        <v>0.1654</v>
      </c>
      <c r="E57" s="5">
        <v>0.2218</v>
      </c>
    </row>
    <row r="58" ht="15.15" spans="1:5">
      <c r="A58" s="4">
        <v>44075</v>
      </c>
      <c r="B58" s="5">
        <v>0.0775</v>
      </c>
      <c r="C58" s="5">
        <v>0.0775</v>
      </c>
      <c r="D58" s="5">
        <v>0.0775</v>
      </c>
      <c r="E58" s="5">
        <v>0.2218</v>
      </c>
    </row>
    <row r="59" ht="15.15" spans="1:5">
      <c r="A59" s="4">
        <v>44105</v>
      </c>
      <c r="B59" s="5">
        <v>0.0177</v>
      </c>
      <c r="C59" s="5">
        <v>0.0775</v>
      </c>
      <c r="D59" s="5">
        <v>0.0775</v>
      </c>
      <c r="E59" s="5">
        <v>0.2218</v>
      </c>
    </row>
    <row r="60" ht="15.15" spans="1:5">
      <c r="A60" s="4">
        <v>44136</v>
      </c>
      <c r="B60" s="5">
        <v>0.0321</v>
      </c>
      <c r="C60" s="5">
        <v>0.0775</v>
      </c>
      <c r="D60" s="5">
        <v>0.0775</v>
      </c>
      <c r="E60" s="5">
        <v>0.2218</v>
      </c>
    </row>
    <row r="61" ht="15.15" spans="1:5">
      <c r="A61" s="4">
        <v>44166</v>
      </c>
      <c r="B61" s="5">
        <v>0.074</v>
      </c>
      <c r="C61" s="5">
        <v>0.074</v>
      </c>
      <c r="D61" s="5">
        <v>0.0775</v>
      </c>
      <c r="E61" s="5">
        <v>0.2218</v>
      </c>
    </row>
    <row r="62" ht="15.15" spans="1:5">
      <c r="A62" s="4">
        <v>44197</v>
      </c>
      <c r="B62" s="5">
        <v>0.0662</v>
      </c>
      <c r="C62" s="5">
        <v>0.074</v>
      </c>
      <c r="D62" s="5">
        <v>0.0775</v>
      </c>
      <c r="E62" s="5">
        <v>0.1835</v>
      </c>
    </row>
    <row r="63" ht="15.15" spans="1:5">
      <c r="A63" s="4">
        <v>44228</v>
      </c>
      <c r="B63" s="5">
        <v>0.055</v>
      </c>
      <c r="C63" s="5">
        <v>0.074</v>
      </c>
      <c r="D63" s="5">
        <v>0.0775</v>
      </c>
      <c r="E63" s="5">
        <v>0.1654</v>
      </c>
    </row>
    <row r="64" ht="15.15" spans="1:5">
      <c r="A64" s="4">
        <v>44256</v>
      </c>
      <c r="B64" s="5">
        <v>0.0847</v>
      </c>
      <c r="C64" s="5">
        <v>0.1206</v>
      </c>
      <c r="D64" s="5">
        <v>0.1206</v>
      </c>
      <c r="E64" s="5">
        <v>0.1206</v>
      </c>
    </row>
    <row r="65" ht="15.15" spans="1:5">
      <c r="A65" s="4">
        <v>44287</v>
      </c>
      <c r="B65" s="5">
        <v>0.031</v>
      </c>
      <c r="C65" s="5">
        <v>0.1206</v>
      </c>
      <c r="D65" s="5">
        <v>0.1206</v>
      </c>
      <c r="E65" s="5">
        <v>0.1206</v>
      </c>
    </row>
    <row r="66" ht="15.15" spans="1:5">
      <c r="A66" s="4">
        <v>44317</v>
      </c>
      <c r="B66" s="5">
        <v>0.0727</v>
      </c>
      <c r="C66" s="5">
        <v>0.0847</v>
      </c>
      <c r="D66" s="5">
        <v>0.1206</v>
      </c>
      <c r="E66" s="5">
        <v>0.1206</v>
      </c>
    </row>
    <row r="67" ht="15.15" spans="1:5">
      <c r="A67" s="4">
        <v>44348</v>
      </c>
      <c r="B67" s="5">
        <v>0.0655</v>
      </c>
      <c r="C67" s="5">
        <v>0.1019</v>
      </c>
      <c r="D67" s="5">
        <v>0.1206</v>
      </c>
      <c r="E67" s="5">
        <v>0.1206</v>
      </c>
    </row>
    <row r="68" ht="15.15" spans="1:5">
      <c r="A68" s="4">
        <v>44378</v>
      </c>
      <c r="B68" s="5">
        <v>0.0259</v>
      </c>
      <c r="C68" s="5">
        <v>0.1019</v>
      </c>
      <c r="D68" s="5">
        <v>0.1206</v>
      </c>
      <c r="E68" s="5">
        <v>0.1206</v>
      </c>
    </row>
    <row r="69" ht="15.15" spans="1:5">
      <c r="A69" s="4">
        <v>44409</v>
      </c>
      <c r="B69" s="5">
        <v>0.051</v>
      </c>
      <c r="C69" s="5">
        <v>0.0655</v>
      </c>
      <c r="D69" s="5">
        <v>0.1019</v>
      </c>
      <c r="E69" s="5">
        <v>0.1206</v>
      </c>
    </row>
    <row r="70" ht="15.15" spans="1:5">
      <c r="A70" s="4">
        <v>44440</v>
      </c>
      <c r="B70" s="5">
        <v>0.0704</v>
      </c>
      <c r="C70" s="5">
        <v>0.0704</v>
      </c>
      <c r="D70" s="5">
        <v>0.1019</v>
      </c>
      <c r="E70" s="5">
        <v>0.1206</v>
      </c>
    </row>
    <row r="71" ht="15.15" spans="1:5">
      <c r="A71" s="4">
        <v>44470</v>
      </c>
      <c r="B71" s="5">
        <v>0.0575</v>
      </c>
      <c r="C71" s="5">
        <v>0.0795</v>
      </c>
      <c r="D71" s="5">
        <v>0.1019</v>
      </c>
      <c r="E71" s="5">
        <v>0.1206</v>
      </c>
    </row>
    <row r="72" ht="15.15" spans="1:5">
      <c r="A72" s="4">
        <v>44501</v>
      </c>
      <c r="B72" s="5">
        <v>0.0263</v>
      </c>
      <c r="C72" s="5">
        <v>0.0945</v>
      </c>
      <c r="D72" s="5">
        <v>0.0945</v>
      </c>
      <c r="E72" s="5">
        <v>0.1206</v>
      </c>
    </row>
    <row r="73" ht="15.15" spans="1:5">
      <c r="A73" s="4">
        <v>44531</v>
      </c>
      <c r="B73" s="5">
        <v>0.0256</v>
      </c>
      <c r="C73" s="5">
        <v>0.0771</v>
      </c>
      <c r="D73" s="5">
        <v>0.0945</v>
      </c>
      <c r="E73" s="5">
        <v>0.1206</v>
      </c>
    </row>
    <row r="74" ht="15.15" spans="1:5">
      <c r="A74" s="4">
        <v>44562</v>
      </c>
      <c r="B74" s="5">
        <v>0.0407</v>
      </c>
      <c r="C74" s="5">
        <v>0.0407</v>
      </c>
      <c r="D74" s="5">
        <v>0.0945</v>
      </c>
      <c r="E74" s="5">
        <v>0.1206</v>
      </c>
    </row>
    <row r="75" ht="15.15" spans="1:5">
      <c r="A75" s="4">
        <v>44593</v>
      </c>
      <c r="B75" s="5">
        <v>0.0428</v>
      </c>
      <c r="C75" s="5">
        <v>0.0428</v>
      </c>
      <c r="D75" s="5">
        <v>0.0945</v>
      </c>
      <c r="E75" s="5">
        <v>0.1019</v>
      </c>
    </row>
    <row r="76" ht="15.15" spans="1:5">
      <c r="A76" s="4">
        <v>44621</v>
      </c>
      <c r="B76" s="5">
        <v>0.0943</v>
      </c>
      <c r="C76" s="5">
        <v>0.0943</v>
      </c>
      <c r="D76" s="5">
        <v>0.0943</v>
      </c>
      <c r="E76" s="5">
        <v>0.1019</v>
      </c>
    </row>
    <row r="77" ht="15.15" spans="1:5">
      <c r="A77" s="4">
        <v>44652</v>
      </c>
      <c r="B77" s="5">
        <v>0.0792</v>
      </c>
      <c r="C77" s="5">
        <v>0.0943</v>
      </c>
      <c r="D77" s="5">
        <v>0.0943</v>
      </c>
      <c r="E77" s="5">
        <v>0.1019</v>
      </c>
    </row>
    <row r="78" ht="15.15" spans="1:5">
      <c r="A78" s="4">
        <v>44682</v>
      </c>
      <c r="B78" s="5">
        <v>0.0679</v>
      </c>
      <c r="C78" s="5">
        <v>0.1036</v>
      </c>
      <c r="D78" s="5">
        <v>0.1036</v>
      </c>
      <c r="E78" s="5">
        <v>0.1036</v>
      </c>
    </row>
    <row r="79" ht="15.15" spans="1:5">
      <c r="A79" s="4">
        <v>44713</v>
      </c>
      <c r="B79" s="5">
        <v>0.0785</v>
      </c>
      <c r="C79" s="5">
        <v>0.1036</v>
      </c>
      <c r="D79" s="5">
        <v>0.1036</v>
      </c>
      <c r="E79" s="5">
        <v>0.1036</v>
      </c>
    </row>
    <row r="80" ht="15.15" spans="1:5">
      <c r="A80" s="4">
        <v>44743</v>
      </c>
      <c r="B80" s="5">
        <v>0.0508</v>
      </c>
      <c r="C80" s="5">
        <v>0.095</v>
      </c>
      <c r="D80" s="5">
        <v>0.1043</v>
      </c>
      <c r="E80" s="5">
        <v>0.1043</v>
      </c>
    </row>
    <row r="81" ht="15.15" spans="1:5">
      <c r="A81" s="4">
        <v>44774</v>
      </c>
      <c r="B81" s="5">
        <v>0.0277</v>
      </c>
      <c r="C81" s="5">
        <v>0.0952</v>
      </c>
      <c r="D81" s="5">
        <v>0.1044</v>
      </c>
      <c r="E81" s="5">
        <v>0.1044</v>
      </c>
    </row>
    <row r="82" ht="15.15" spans="1:5">
      <c r="A82" s="4">
        <v>44805</v>
      </c>
      <c r="B82" s="5">
        <v>0.077</v>
      </c>
      <c r="C82" s="5">
        <v>0.077</v>
      </c>
      <c r="D82" s="5">
        <v>0.1044</v>
      </c>
      <c r="E82" s="5">
        <v>0.1044</v>
      </c>
    </row>
    <row r="83" ht="15.15" spans="1:5">
      <c r="A83" s="4">
        <v>44835</v>
      </c>
      <c r="B83" s="5">
        <v>0.0335</v>
      </c>
      <c r="C83" s="5">
        <v>0.0866</v>
      </c>
      <c r="D83" s="5">
        <v>0.0952</v>
      </c>
      <c r="E83" s="5">
        <v>0.1045</v>
      </c>
    </row>
    <row r="84" ht="15.15" spans="1:5">
      <c r="A84" s="4">
        <v>44866</v>
      </c>
      <c r="B84" s="5">
        <v>0.0314</v>
      </c>
      <c r="C84" s="5">
        <v>0.0866</v>
      </c>
      <c r="D84" s="5">
        <v>0.0952</v>
      </c>
      <c r="E84" s="5">
        <v>0.1045</v>
      </c>
    </row>
    <row r="85" ht="15.15" spans="1:5">
      <c r="A85" s="4">
        <v>44896</v>
      </c>
      <c r="B85" s="5">
        <v>0.0378</v>
      </c>
      <c r="C85" s="5">
        <v>0.0378</v>
      </c>
      <c r="D85" s="5">
        <v>0.0866</v>
      </c>
      <c r="E85" s="5">
        <v>0.1045</v>
      </c>
    </row>
    <row r="86" ht="15.15" spans="1:5">
      <c r="A86" s="4">
        <v>44927</v>
      </c>
      <c r="B86" s="5">
        <v>0.0123</v>
      </c>
      <c r="C86" s="5">
        <v>0.0378</v>
      </c>
      <c r="D86" s="5">
        <v>0.0866</v>
      </c>
      <c r="E86" s="5">
        <v>0.1045</v>
      </c>
    </row>
    <row r="87" ht="15.15" spans="1:5">
      <c r="A87" s="4">
        <v>44958</v>
      </c>
      <c r="B87" s="5">
        <v>0.0315</v>
      </c>
      <c r="C87" s="5">
        <v>0.0378</v>
      </c>
      <c r="D87" s="5">
        <v>0.0866</v>
      </c>
      <c r="E87" s="5">
        <v>0.1045</v>
      </c>
    </row>
    <row r="88" ht="15.15" spans="1:5">
      <c r="A88" s="4">
        <v>44986</v>
      </c>
      <c r="B88" s="5">
        <v>0.0253</v>
      </c>
      <c r="C88" s="5">
        <v>0.0315</v>
      </c>
      <c r="D88" s="5">
        <v>0.0378</v>
      </c>
      <c r="E88" s="5">
        <v>0.1045</v>
      </c>
    </row>
    <row r="89" ht="15.15" spans="1:5">
      <c r="A89" s="4">
        <v>45017</v>
      </c>
      <c r="B89" s="5">
        <v>0.0456</v>
      </c>
      <c r="C89" s="5">
        <v>0.0456</v>
      </c>
      <c r="D89" s="5">
        <v>0.0456</v>
      </c>
      <c r="E89" s="5">
        <v>0.0952</v>
      </c>
    </row>
    <row r="90" ht="15.15" spans="1:5">
      <c r="A90" s="4">
        <v>45047</v>
      </c>
      <c r="B90" s="5">
        <v>0.066</v>
      </c>
      <c r="C90" s="5">
        <v>0.066</v>
      </c>
      <c r="D90" s="5">
        <v>0.066</v>
      </c>
      <c r="E90" s="5">
        <v>0.0952</v>
      </c>
    </row>
    <row r="91" ht="15.15" spans="1:5">
      <c r="A91" s="4">
        <v>45078</v>
      </c>
      <c r="B91" s="5">
        <v>0.0214</v>
      </c>
      <c r="C91" s="5">
        <v>0.066</v>
      </c>
      <c r="D91" s="5">
        <v>0.066</v>
      </c>
      <c r="E91" s="5">
        <v>0.0866</v>
      </c>
    </row>
    <row r="92" ht="15.15" spans="1:5">
      <c r="A92" s="4">
        <v>45108</v>
      </c>
      <c r="B92" s="5">
        <v>0.0221</v>
      </c>
      <c r="C92" s="5">
        <v>0.066</v>
      </c>
      <c r="D92" s="5">
        <v>0.066</v>
      </c>
      <c r="E92" s="5">
        <v>0.0866</v>
      </c>
    </row>
    <row r="93" ht="15.15" spans="1:5">
      <c r="A93" s="4">
        <v>45139</v>
      </c>
      <c r="B93" s="5">
        <v>0.035</v>
      </c>
      <c r="C93" s="5">
        <v>0.035</v>
      </c>
      <c r="D93" s="5">
        <v>0.066</v>
      </c>
      <c r="E93" s="5">
        <v>0.0866</v>
      </c>
    </row>
    <row r="94" ht="15.15" spans="1:5">
      <c r="A94" s="4">
        <v>45170</v>
      </c>
      <c r="B94" s="5">
        <v>0.0217</v>
      </c>
      <c r="C94" s="5">
        <v>0.035</v>
      </c>
      <c r="D94" s="5">
        <v>0.066</v>
      </c>
      <c r="E94" s="5">
        <v>0.066</v>
      </c>
    </row>
    <row r="95" ht="15.15" spans="1:5">
      <c r="A95" s="4">
        <v>45200</v>
      </c>
      <c r="B95" s="5">
        <v>0.0272</v>
      </c>
      <c r="C95" s="5">
        <v>0.042</v>
      </c>
      <c r="D95" s="5">
        <v>0.066</v>
      </c>
      <c r="E95" s="5">
        <v>0.066</v>
      </c>
    </row>
    <row r="96" ht="15.15" spans="1:5">
      <c r="A96" s="4">
        <v>45231</v>
      </c>
      <c r="B96" s="5">
        <v>0.0127</v>
      </c>
      <c r="C96" s="5">
        <v>0.042</v>
      </c>
      <c r="D96" s="5">
        <v>0.042</v>
      </c>
      <c r="E96" s="5">
        <v>0.066</v>
      </c>
    </row>
    <row r="97" ht="15.15" spans="1:5">
      <c r="A97" s="4">
        <v>45261</v>
      </c>
      <c r="B97" s="5">
        <v>0.02</v>
      </c>
      <c r="C97" s="5">
        <v>0.0272</v>
      </c>
      <c r="D97" s="5">
        <v>0.042</v>
      </c>
      <c r="E97" s="5">
        <v>0.066</v>
      </c>
    </row>
    <row r="98" ht="15.15" spans="1:5">
      <c r="A98" s="4">
        <v>45292</v>
      </c>
      <c r="B98" s="5">
        <v>0.021</v>
      </c>
      <c r="C98" s="5">
        <v>0.021</v>
      </c>
      <c r="D98" s="5">
        <v>0.042</v>
      </c>
      <c r="E98" s="5">
        <v>0.066</v>
      </c>
    </row>
    <row r="99" ht="15.15" spans="1:5">
      <c r="A99" s="4">
        <v>45323</v>
      </c>
      <c r="B99" s="5">
        <v>0.0163</v>
      </c>
      <c r="C99" s="5">
        <v>0.021</v>
      </c>
      <c r="D99" s="5">
        <v>0.042</v>
      </c>
      <c r="E99" s="5">
        <v>0.066</v>
      </c>
    </row>
    <row r="100" ht="15.15" spans="1:5">
      <c r="A100" s="4">
        <v>45352</v>
      </c>
      <c r="B100" s="5">
        <v>0.0306</v>
      </c>
      <c r="C100" s="5">
        <v>0.0306</v>
      </c>
      <c r="D100" s="5">
        <v>0.0306</v>
      </c>
      <c r="E100" s="5">
        <v>0.066</v>
      </c>
    </row>
    <row r="101" ht="15.15" spans="1:5">
      <c r="A101" s="4">
        <v>45383</v>
      </c>
      <c r="B101" s="5">
        <v>0.0267</v>
      </c>
      <c r="C101" s="5">
        <v>0.0306</v>
      </c>
      <c r="D101" s="5">
        <v>0.0306</v>
      </c>
      <c r="E101" s="5">
        <v>0.066</v>
      </c>
    </row>
    <row r="102" ht="15.15" spans="1:5">
      <c r="A102" s="4">
        <v>45413</v>
      </c>
      <c r="B102" s="5">
        <v>0.0261</v>
      </c>
      <c r="C102" s="5">
        <v>0.0306</v>
      </c>
      <c r="D102" s="5">
        <v>0.0306</v>
      </c>
      <c r="E102" s="5">
        <v>0.042</v>
      </c>
    </row>
    <row r="103" ht="15.15" spans="1:5">
      <c r="A103" s="4">
        <v>45444</v>
      </c>
      <c r="B103" s="5">
        <v>0.0181</v>
      </c>
      <c r="C103" s="5">
        <v>0.0267</v>
      </c>
      <c r="D103" s="5">
        <v>0.0306</v>
      </c>
      <c r="E103" s="5">
        <v>0.042</v>
      </c>
    </row>
    <row r="104" ht="15.15" spans="1:5">
      <c r="A104" s="4">
        <v>45474</v>
      </c>
      <c r="B104" s="5">
        <v>0.0688</v>
      </c>
      <c r="C104" s="5">
        <v>0.0688</v>
      </c>
      <c r="D104" s="5">
        <v>0.0688</v>
      </c>
      <c r="E104" s="5">
        <v>0.0688</v>
      </c>
    </row>
    <row r="105" ht="15.15" spans="1:5">
      <c r="A105" s="4">
        <v>45505</v>
      </c>
      <c r="B105" s="5">
        <v>0.0468</v>
      </c>
      <c r="C105" s="5">
        <v>0.0961</v>
      </c>
      <c r="D105" s="5">
        <v>0.0961</v>
      </c>
      <c r="E105" s="5">
        <v>0.0961</v>
      </c>
    </row>
    <row r="106" ht="15.15" spans="1:5">
      <c r="A106" s="4">
        <v>45536</v>
      </c>
      <c r="B106" s="5">
        <v>0.0534</v>
      </c>
      <c r="C106" s="5">
        <v>0.1125</v>
      </c>
      <c r="D106" s="5">
        <v>0.1125</v>
      </c>
      <c r="E106" s="5">
        <v>0.1125</v>
      </c>
    </row>
    <row r="107" ht="15.15" spans="1:5">
      <c r="A107" s="4">
        <v>45566</v>
      </c>
      <c r="B107" s="5">
        <v>0.0472</v>
      </c>
      <c r="C107" s="5">
        <v>0.0697</v>
      </c>
      <c r="D107" s="5">
        <v>0.1125</v>
      </c>
      <c r="E107" s="5">
        <v>0.1125</v>
      </c>
    </row>
    <row r="108" ht="15.15" spans="1:5">
      <c r="A108" s="4">
        <v>45597</v>
      </c>
      <c r="B108" s="5">
        <v>0.0281</v>
      </c>
      <c r="C108" s="5">
        <v>0.0534</v>
      </c>
      <c r="D108" s="5">
        <v>0.1125</v>
      </c>
      <c r="E108" s="5">
        <v>0.1125</v>
      </c>
    </row>
    <row r="109" ht="15.15" spans="1:5">
      <c r="A109" s="4">
        <v>45627</v>
      </c>
      <c r="B109" s="5">
        <v>0.0193</v>
      </c>
      <c r="C109" s="5">
        <v>0.0472</v>
      </c>
      <c r="D109" s="5">
        <v>0.1125</v>
      </c>
      <c r="E109" s="5">
        <v>0.1125</v>
      </c>
    </row>
    <row r="110" ht="15.15" spans="1:5">
      <c r="A110" s="4">
        <v>45658</v>
      </c>
      <c r="B110" s="5">
        <v>0.0344</v>
      </c>
      <c r="C110" s="5">
        <v>0.0344</v>
      </c>
      <c r="D110" s="5">
        <v>0.0697</v>
      </c>
      <c r="E110" s="5">
        <v>0.1125</v>
      </c>
    </row>
    <row r="111" ht="15.15" spans="1:5">
      <c r="A111" s="4">
        <v>45689</v>
      </c>
      <c r="B111" s="5">
        <v>0.021</v>
      </c>
      <c r="C111" s="5">
        <v>0.0348</v>
      </c>
      <c r="D111" s="5">
        <v>0.0534</v>
      </c>
      <c r="E111" s="5">
        <v>0.1125</v>
      </c>
    </row>
    <row r="112" ht="15.15" spans="1:5">
      <c r="A112" s="4">
        <v>45717</v>
      </c>
      <c r="B112" s="5">
        <v>0.0248</v>
      </c>
      <c r="C112" s="5">
        <v>0.052</v>
      </c>
      <c r="D112" s="5">
        <v>0.052</v>
      </c>
      <c r="E112" s="5">
        <v>0.1125</v>
      </c>
    </row>
    <row r="113" ht="15.15" spans="1:5">
      <c r="A113" s="4">
        <v>45748</v>
      </c>
      <c r="B113" s="5">
        <v>0.0575</v>
      </c>
      <c r="C113" s="5">
        <v>0.0602</v>
      </c>
      <c r="D113" s="5">
        <v>0.0654</v>
      </c>
      <c r="E113" s="5">
        <v>0.1125</v>
      </c>
    </row>
    <row r="114" ht="15.15" spans="1:5">
      <c r="A114" s="4">
        <v>45778</v>
      </c>
      <c r="B114" s="5">
        <v>0.0174</v>
      </c>
      <c r="C114" s="5">
        <v>0.0602</v>
      </c>
      <c r="D114" s="5">
        <v>0.0654</v>
      </c>
      <c r="E114" s="5">
        <v>0.1125</v>
      </c>
    </row>
    <row r="115" ht="15.15" spans="1:5">
      <c r="A115" s="4">
        <v>45809</v>
      </c>
      <c r="B115" s="5">
        <v>0.0073</v>
      </c>
      <c r="C115" s="5">
        <v>0.0575</v>
      </c>
      <c r="D115" s="5">
        <v>0.0654</v>
      </c>
      <c r="E115" s="5">
        <v>0.1125</v>
      </c>
    </row>
    <row r="116" ht="15.15" spans="1:5">
      <c r="A116" s="4">
        <v>45839</v>
      </c>
      <c r="B116" s="5">
        <v>0.0182</v>
      </c>
      <c r="C116" s="5">
        <v>0.0182</v>
      </c>
      <c r="D116" s="5">
        <v>0.0602</v>
      </c>
      <c r="E116" s="5">
        <v>0.0697</v>
      </c>
    </row>
    <row r="117" ht="15.15" spans="1:5">
      <c r="A117" s="6">
        <v>45870</v>
      </c>
      <c r="B117" s="7">
        <v>0.0094</v>
      </c>
      <c r="C117" s="7">
        <v>0.0231</v>
      </c>
      <c r="D117" s="7">
        <v>0.0602</v>
      </c>
      <c r="E117" s="7">
        <v>0.0654</v>
      </c>
    </row>
    <row r="118" ht="15.15" spans="1:5">
      <c r="A118" s="4">
        <v>45901</v>
      </c>
      <c r="B118" s="5">
        <v>0.0112</v>
      </c>
      <c r="C118" s="5">
        <v>0.0231</v>
      </c>
      <c r="D118" s="5">
        <v>0.0575</v>
      </c>
      <c r="E118" s="5">
        <v>0.0654</v>
      </c>
    </row>
    <row r="119" ht="15.15" spans="1:5">
      <c r="A119" s="4">
        <v>45931</v>
      </c>
      <c r="B119" s="5">
        <v>0.01</v>
      </c>
      <c r="C119" s="5">
        <v>0.0112</v>
      </c>
      <c r="D119" s="5">
        <v>0.0231</v>
      </c>
      <c r="E119" s="5">
        <v>0.0654</v>
      </c>
    </row>
    <row r="120" ht="15.15" spans="1:5">
      <c r="A120" s="4">
        <v>45962</v>
      </c>
      <c r="B120" s="5">
        <v>0.0502</v>
      </c>
      <c r="C120" s="5">
        <v>0.0502</v>
      </c>
      <c r="D120" s="5">
        <v>0.0502</v>
      </c>
      <c r="E120" s="5">
        <v>0.0654</v>
      </c>
    </row>
    <row r="121" ht="15.15" spans="1:5">
      <c r="A121" s="4">
        <v>45992</v>
      </c>
      <c r="B121" s="5">
        <v>0.0341</v>
      </c>
      <c r="C121" s="5">
        <v>0.0502</v>
      </c>
      <c r="D121" s="5">
        <v>0.0502</v>
      </c>
      <c r="E121" s="5">
        <v>0.0654</v>
      </c>
    </row>
    <row r="122" ht="15.15" spans="1:5">
      <c r="A122" s="4">
        <v>46023</v>
      </c>
      <c r="B122" s="5">
        <v>0.0308</v>
      </c>
      <c r="C122" s="5">
        <v>0.0502</v>
      </c>
      <c r="D122" s="5">
        <v>0.0502</v>
      </c>
      <c r="E122" s="5">
        <v>0.0602</v>
      </c>
    </row>
    <row r="123" ht="15.15" spans="1:5">
      <c r="A123" s="4">
        <v>46054</v>
      </c>
      <c r="B123" s="5">
        <v>0.0417</v>
      </c>
      <c r="C123" s="5">
        <v>0.0709</v>
      </c>
      <c r="D123" s="5">
        <v>0.0709</v>
      </c>
      <c r="E123" s="5">
        <v>0.0709</v>
      </c>
    </row>
    <row r="124" ht="15.15" spans="1:5">
      <c r="A124" s="4">
        <v>46082</v>
      </c>
      <c r="B124" s="5">
        <v>0.0681</v>
      </c>
      <c r="C124" s="5">
        <v>0.0915</v>
      </c>
      <c r="D124" s="5">
        <v>0.0915</v>
      </c>
      <c r="E124" s="5">
        <v>0.0915</v>
      </c>
    </row>
    <row r="125" ht="15.15" spans="1:5">
      <c r="A125" s="4">
        <v>46113</v>
      </c>
      <c r="B125" s="5">
        <v>0.014</v>
      </c>
      <c r="C125" s="5">
        <v>0.0681</v>
      </c>
      <c r="D125" s="5">
        <v>0.0915</v>
      </c>
      <c r="E125" s="5">
        <v>0.0915</v>
      </c>
    </row>
    <row r="126" ht="15.15" spans="1:5">
      <c r="A126" s="4">
        <v>46143</v>
      </c>
      <c r="B126" s="5">
        <v>0.0396</v>
      </c>
      <c r="C126" s="5">
        <v>0.0681</v>
      </c>
      <c r="D126" s="5">
        <v>0.0915</v>
      </c>
      <c r="E126" s="5">
        <v>0.0915</v>
      </c>
    </row>
    <row r="127" ht="15.15" spans="1:5">
      <c r="A127" s="4">
        <v>46174</v>
      </c>
      <c r="B127" s="5">
        <v>0.1053</v>
      </c>
      <c r="C127" s="5">
        <v>0.1053</v>
      </c>
      <c r="D127" s="5">
        <v>0.124</v>
      </c>
      <c r="E127" s="5">
        <v>0.124</v>
      </c>
    </row>
    <row r="128" ht="15.15" spans="1:5">
      <c r="A128" s="4">
        <v>46204</v>
      </c>
      <c r="B128" s="5">
        <v>0.0126</v>
      </c>
      <c r="C128" s="5">
        <v>0.1053</v>
      </c>
      <c r="D128" s="5">
        <v>0.1053</v>
      </c>
      <c r="E128" s="5">
        <v>0.124</v>
      </c>
    </row>
    <row r="129" spans="1:6">
      <c r="A129" s="4">
        <v>46235</v>
      </c>
      <c r="B129" s="5">
        <v>0.019</v>
      </c>
      <c r="C129" s="5">
        <v>0.1053</v>
      </c>
      <c r="D129" s="5">
        <v>0.1053</v>
      </c>
      <c r="E129" s="5">
        <v>0.124</v>
      </c>
    </row>
    <row r="130" s="3" customFormat="1" spans="1:6">
      <c r="B130" s="3">
        <f>AVERAGE(B2:B129)</f>
        <v>0.0426109375</v>
      </c>
      <c r="C130" s="3">
        <f>AVERAGE(C2:C129)</f>
        <v>0.0710182539682539</v>
      </c>
      <c r="D130" s="3">
        <f>AVERAGE(D2:D129)</f>
        <v>0.0941723577235772</v>
      </c>
      <c r="E130" s="3">
        <f>AVERAGE(E2:E129)</f>
        <v>0.121225641025641</v>
      </c>
      <c r="F130" s="3">
        <v>0.2218</v>
      </c>
    </row>
    <row r="131" spans="1:6">
      <c r="F131">
        <f>0.4*F130+0.2*E130+0.2*D130+0.1*C130+0.1*B130</f>
        <v>0.143162518896669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opLeftCell="A52" workbookViewId="0">
      <selection activeCell="F73" sqref="F73"/>
    </sheetView>
  </sheetViews>
  <sheetFormatPr defaultColWidth="8.88888888888889" defaultRowHeight="14.4" outlineLevelCol="5"/>
  <cols>
    <col min="2" max="5" width="12.8888888888889"/>
  </cols>
  <sheetData>
    <row r="1" ht="15.15" spans="1:5">
      <c r="B1">
        <v>1</v>
      </c>
      <c r="C1">
        <v>3</v>
      </c>
      <c r="D1">
        <v>6</v>
      </c>
      <c r="E1">
        <v>12</v>
      </c>
    </row>
    <row r="2" ht="15.15" spans="1:5">
      <c r="A2" s="4">
        <v>44075</v>
      </c>
      <c r="B2" s="5">
        <v>0.0195</v>
      </c>
      <c r="C2" s="5" t="s">
        <v>0</v>
      </c>
      <c r="D2" s="5" t="s">
        <v>0</v>
      </c>
      <c r="E2" s="5" t="s">
        <v>0</v>
      </c>
    </row>
    <row r="3" ht="15.15" spans="1:5">
      <c r="A3" s="4">
        <v>44105</v>
      </c>
      <c r="B3" s="5">
        <v>0.0193</v>
      </c>
      <c r="C3" s="5" t="s">
        <v>0</v>
      </c>
      <c r="D3" s="5" t="s">
        <v>0</v>
      </c>
      <c r="E3" s="5" t="s">
        <v>0</v>
      </c>
    </row>
    <row r="4" ht="15.15" spans="1:5">
      <c r="A4" s="4">
        <v>44136</v>
      </c>
      <c r="B4" s="5">
        <v>0.0161</v>
      </c>
      <c r="C4" s="5">
        <v>0.0234</v>
      </c>
      <c r="D4" s="5" t="s">
        <v>0</v>
      </c>
      <c r="E4" s="5" t="s">
        <v>0</v>
      </c>
    </row>
    <row r="5" ht="15.15" spans="1:5">
      <c r="A5" s="4">
        <v>44166</v>
      </c>
      <c r="B5" s="5">
        <v>0.0179</v>
      </c>
      <c r="C5" s="5">
        <v>0.025</v>
      </c>
      <c r="D5" s="5" t="s">
        <v>0</v>
      </c>
      <c r="E5" s="5" t="s">
        <v>0</v>
      </c>
    </row>
    <row r="6" ht="15.15" spans="1:5">
      <c r="A6" s="4">
        <v>44197</v>
      </c>
      <c r="B6" s="5">
        <v>0.0107</v>
      </c>
      <c r="C6" s="5">
        <v>0.025</v>
      </c>
      <c r="D6" s="5" t="s">
        <v>0</v>
      </c>
      <c r="E6" s="5" t="s">
        <v>0</v>
      </c>
    </row>
    <row r="7" ht="15.15" spans="1:5">
      <c r="A7" s="4">
        <v>44228</v>
      </c>
      <c r="B7" s="5">
        <v>0.0135</v>
      </c>
      <c r="C7" s="5">
        <v>0.0179</v>
      </c>
      <c r="D7" s="5">
        <v>0.025</v>
      </c>
      <c r="E7" s="5" t="s">
        <v>0</v>
      </c>
    </row>
    <row r="8" ht="15.15" spans="1:5">
      <c r="A8" s="4">
        <v>44256</v>
      </c>
      <c r="B8" s="5">
        <v>0.0091</v>
      </c>
      <c r="C8" s="5">
        <v>0.0202</v>
      </c>
      <c r="D8" s="5">
        <v>0.025</v>
      </c>
      <c r="E8" s="5" t="s">
        <v>0</v>
      </c>
    </row>
    <row r="9" ht="15.15" spans="1:5">
      <c r="A9" s="4">
        <v>44287</v>
      </c>
      <c r="B9" s="5">
        <v>0.0158</v>
      </c>
      <c r="C9" s="5">
        <v>0.0202</v>
      </c>
      <c r="D9" s="5">
        <v>0.025</v>
      </c>
      <c r="E9" s="5" t="s">
        <v>0</v>
      </c>
    </row>
    <row r="10" ht="15.15" spans="1:5">
      <c r="A10" s="4">
        <v>44317</v>
      </c>
      <c r="B10" s="5">
        <v>0.0078</v>
      </c>
      <c r="C10" s="5">
        <v>0.0158</v>
      </c>
      <c r="D10" s="5">
        <v>0.0202</v>
      </c>
      <c r="E10" s="5" t="s">
        <v>0</v>
      </c>
    </row>
    <row r="11" ht="15.15" spans="1:5">
      <c r="A11" s="4">
        <v>44348</v>
      </c>
      <c r="B11" s="5">
        <v>0.0257</v>
      </c>
      <c r="C11" s="5">
        <v>0.0257</v>
      </c>
      <c r="D11" s="5">
        <v>0.0257</v>
      </c>
      <c r="E11" s="5" t="s">
        <v>0</v>
      </c>
    </row>
    <row r="12" ht="15.15" spans="1:5">
      <c r="A12" s="4">
        <v>44378</v>
      </c>
      <c r="B12" s="5">
        <v>0.0165</v>
      </c>
      <c r="C12" s="5">
        <v>0.0257</v>
      </c>
      <c r="D12" s="5">
        <v>0.0257</v>
      </c>
      <c r="E12" s="5" t="s">
        <v>0</v>
      </c>
    </row>
    <row r="13" ht="15.15" spans="1:5">
      <c r="A13" s="4">
        <v>44409</v>
      </c>
      <c r="B13" s="5">
        <v>0.0053</v>
      </c>
      <c r="C13" s="5">
        <v>0.0257</v>
      </c>
      <c r="D13" s="5">
        <v>0.0257</v>
      </c>
      <c r="E13" s="5">
        <v>0.0257</v>
      </c>
    </row>
    <row r="14" ht="15.15" spans="1:5">
      <c r="A14" s="4">
        <v>44440</v>
      </c>
      <c r="B14" s="5">
        <v>0.0137</v>
      </c>
      <c r="C14" s="5">
        <v>0.0165</v>
      </c>
      <c r="D14" s="5">
        <v>0.0257</v>
      </c>
      <c r="E14" s="5">
        <v>0.0257</v>
      </c>
    </row>
    <row r="15" ht="15.15" spans="1:5">
      <c r="A15" s="4">
        <v>44470</v>
      </c>
      <c r="B15" s="5">
        <v>0.0102</v>
      </c>
      <c r="C15" s="5">
        <v>0.0234</v>
      </c>
      <c r="D15" s="5">
        <v>0.0257</v>
      </c>
      <c r="E15" s="5">
        <v>0.0257</v>
      </c>
    </row>
    <row r="16" ht="15.15" spans="1:5">
      <c r="A16" s="4">
        <v>44501</v>
      </c>
      <c r="B16" s="5">
        <v>0.0151</v>
      </c>
      <c r="C16" s="5">
        <v>0.0234</v>
      </c>
      <c r="D16" s="5">
        <v>0.0257</v>
      </c>
      <c r="E16" s="5">
        <v>0.0257</v>
      </c>
    </row>
    <row r="17" ht="15.15" spans="1:5">
      <c r="A17" s="4">
        <v>44531</v>
      </c>
      <c r="B17" s="5">
        <v>0.0074</v>
      </c>
      <c r="C17" s="5">
        <v>0.0185</v>
      </c>
      <c r="D17" s="5">
        <v>0.0234</v>
      </c>
      <c r="E17" s="5">
        <v>0.0257</v>
      </c>
    </row>
    <row r="18" ht="15.15" spans="1:5">
      <c r="A18" s="4">
        <v>44562</v>
      </c>
      <c r="B18" s="5">
        <v>0.0182</v>
      </c>
      <c r="C18" s="5">
        <v>0.0185</v>
      </c>
      <c r="D18" s="5">
        <v>0.0234</v>
      </c>
      <c r="E18" s="5">
        <v>0.0257</v>
      </c>
    </row>
    <row r="19" ht="15.15" spans="1:5">
      <c r="A19" s="4">
        <v>44593</v>
      </c>
      <c r="B19" s="5">
        <v>0.0193</v>
      </c>
      <c r="C19" s="5">
        <v>0.0193</v>
      </c>
      <c r="D19" s="5">
        <v>0.0234</v>
      </c>
      <c r="E19" s="5">
        <v>0.0257</v>
      </c>
    </row>
    <row r="20" ht="15.15" spans="1:5">
      <c r="A20" s="4">
        <v>44621</v>
      </c>
      <c r="B20" s="5">
        <v>0.0184</v>
      </c>
      <c r="C20" s="5">
        <v>0.021</v>
      </c>
      <c r="D20" s="5">
        <v>0.021</v>
      </c>
      <c r="E20" s="5">
        <v>0.0257</v>
      </c>
    </row>
    <row r="21" ht="15.15" spans="1:5">
      <c r="A21" s="4">
        <v>44652</v>
      </c>
      <c r="B21" s="5">
        <v>0.0175</v>
      </c>
      <c r="C21" s="5">
        <v>0.021</v>
      </c>
      <c r="D21" s="5">
        <v>0.021</v>
      </c>
      <c r="E21" s="5">
        <v>0.0257</v>
      </c>
    </row>
    <row r="22" ht="15.15" spans="1:5">
      <c r="A22" s="4">
        <v>44682</v>
      </c>
      <c r="B22" s="5">
        <v>0.0199</v>
      </c>
      <c r="C22" s="5">
        <v>0.026</v>
      </c>
      <c r="D22" s="5">
        <v>0.026</v>
      </c>
      <c r="E22" s="5">
        <v>0.026</v>
      </c>
    </row>
    <row r="23" ht="15.15" spans="1:5">
      <c r="A23" s="4">
        <v>44713</v>
      </c>
      <c r="B23" s="5">
        <v>0.0281</v>
      </c>
      <c r="C23" s="5">
        <v>0.0345</v>
      </c>
      <c r="D23" s="5">
        <v>0.0345</v>
      </c>
      <c r="E23" s="5">
        <v>0.0345</v>
      </c>
    </row>
    <row r="24" ht="15.15" spans="1:5">
      <c r="A24" s="4">
        <v>44743</v>
      </c>
      <c r="B24" s="5">
        <v>0.0215</v>
      </c>
      <c r="C24" s="5">
        <v>0.0419</v>
      </c>
      <c r="D24" s="5">
        <v>0.0478</v>
      </c>
      <c r="E24" s="5">
        <v>0.0478</v>
      </c>
    </row>
    <row r="25" ht="15.15" spans="1:5">
      <c r="A25" s="4">
        <v>44774</v>
      </c>
      <c r="B25" s="5">
        <v>0.0085</v>
      </c>
      <c r="C25" s="5">
        <v>0.0415</v>
      </c>
      <c r="D25" s="5">
        <v>0.0478</v>
      </c>
      <c r="E25" s="5">
        <v>0.0478</v>
      </c>
    </row>
    <row r="26" ht="15.15" spans="1:5">
      <c r="A26" s="4">
        <v>44805</v>
      </c>
      <c r="B26" s="5">
        <v>0.0208</v>
      </c>
      <c r="C26" s="5">
        <v>0.0215</v>
      </c>
      <c r="D26" s="5">
        <v>0.0478</v>
      </c>
      <c r="E26" s="5">
        <v>0.0478</v>
      </c>
    </row>
    <row r="27" ht="15.15" spans="1:5">
      <c r="A27" s="4">
        <v>44835</v>
      </c>
      <c r="B27" s="5">
        <v>0.0138</v>
      </c>
      <c r="C27" s="5">
        <v>0.0279</v>
      </c>
      <c r="D27" s="5">
        <v>0.0419</v>
      </c>
      <c r="E27" s="5">
        <v>0.0478</v>
      </c>
    </row>
    <row r="28" ht="15.15" spans="1:5">
      <c r="A28" s="4">
        <v>44866</v>
      </c>
      <c r="B28" s="5">
        <v>0.0104</v>
      </c>
      <c r="C28" s="5">
        <v>0.0337</v>
      </c>
      <c r="D28" s="5">
        <v>0.0415</v>
      </c>
      <c r="E28" s="5">
        <v>0.0478</v>
      </c>
    </row>
    <row r="29" ht="15.15" spans="1:5">
      <c r="A29" s="4">
        <v>44896</v>
      </c>
      <c r="B29" s="5">
        <v>0.0183</v>
      </c>
      <c r="C29" s="5">
        <v>0.0213</v>
      </c>
      <c r="D29" s="5">
        <v>0.0337</v>
      </c>
      <c r="E29" s="5">
        <v>0.0478</v>
      </c>
    </row>
    <row r="30" ht="15.15" spans="1:5">
      <c r="A30" s="4">
        <v>44927</v>
      </c>
      <c r="B30" s="5">
        <v>0.0061</v>
      </c>
      <c r="C30" s="5">
        <v>0.0213</v>
      </c>
      <c r="D30" s="5">
        <v>0.0337</v>
      </c>
      <c r="E30" s="5">
        <v>0.0478</v>
      </c>
    </row>
    <row r="31" ht="15.15" spans="1:5">
      <c r="A31" s="4">
        <v>44958</v>
      </c>
      <c r="B31" s="5">
        <v>0.0097</v>
      </c>
      <c r="C31" s="5">
        <v>0.0183</v>
      </c>
      <c r="D31" s="5">
        <v>0.0337</v>
      </c>
      <c r="E31" s="5">
        <v>0.0478</v>
      </c>
    </row>
    <row r="32" ht="15.15" spans="1:5">
      <c r="A32" s="4">
        <v>44986</v>
      </c>
      <c r="B32" s="5">
        <v>0.0095</v>
      </c>
      <c r="C32" s="5">
        <v>0.0108</v>
      </c>
      <c r="D32" s="5">
        <v>0.0213</v>
      </c>
      <c r="E32" s="5">
        <v>0.0478</v>
      </c>
    </row>
    <row r="33" ht="15.15" spans="1:5">
      <c r="A33" s="4">
        <v>45017</v>
      </c>
      <c r="B33" s="5">
        <v>0.0081</v>
      </c>
      <c r="C33" s="5">
        <v>0.0108</v>
      </c>
      <c r="D33" s="5">
        <v>0.0213</v>
      </c>
      <c r="E33" s="5">
        <v>0.0419</v>
      </c>
    </row>
    <row r="34" ht="15.15" spans="1:5">
      <c r="A34" s="4">
        <v>45047</v>
      </c>
      <c r="B34" s="5">
        <v>0.0055</v>
      </c>
      <c r="C34" s="5">
        <v>0.0095</v>
      </c>
      <c r="D34" s="5">
        <v>0.0183</v>
      </c>
      <c r="E34" s="5">
        <v>0.0415</v>
      </c>
    </row>
    <row r="35" ht="15.15" spans="1:5">
      <c r="A35" s="4">
        <v>45078</v>
      </c>
      <c r="B35" s="5">
        <v>0.0062</v>
      </c>
      <c r="C35" s="5">
        <v>0.0081</v>
      </c>
      <c r="D35" s="5">
        <v>0.0108</v>
      </c>
      <c r="E35" s="5">
        <v>0.0337</v>
      </c>
    </row>
    <row r="36" ht="15.15" spans="1:5">
      <c r="A36" s="4">
        <v>45108</v>
      </c>
      <c r="B36" s="5">
        <v>0.0076</v>
      </c>
      <c r="C36" s="5">
        <v>0.0076</v>
      </c>
      <c r="D36" s="5">
        <v>0.0108</v>
      </c>
      <c r="E36" s="5">
        <v>0.0337</v>
      </c>
    </row>
    <row r="37" ht="15.15" spans="1:5">
      <c r="A37" s="4">
        <v>45139</v>
      </c>
      <c r="B37" s="5">
        <v>0.0086</v>
      </c>
      <c r="C37" s="5">
        <v>0.0086</v>
      </c>
      <c r="D37" s="5">
        <v>0.0095</v>
      </c>
      <c r="E37" s="5">
        <v>0.0337</v>
      </c>
    </row>
    <row r="38" ht="15.15" spans="1:5">
      <c r="A38" s="4">
        <v>45170</v>
      </c>
      <c r="B38" s="5">
        <v>0.0158</v>
      </c>
      <c r="C38" s="5">
        <v>0.0158</v>
      </c>
      <c r="D38" s="5">
        <v>0.0158</v>
      </c>
      <c r="E38" s="5">
        <v>0.0213</v>
      </c>
    </row>
    <row r="39" ht="15.15" spans="1:5">
      <c r="A39" s="4">
        <v>45200</v>
      </c>
      <c r="B39" s="5">
        <v>0.0133</v>
      </c>
      <c r="C39" s="5">
        <v>0.0186</v>
      </c>
      <c r="D39" s="5">
        <v>0.0186</v>
      </c>
      <c r="E39" s="5">
        <v>0.0213</v>
      </c>
    </row>
    <row r="40" ht="15.15" spans="1:5">
      <c r="A40" s="4">
        <v>45231</v>
      </c>
      <c r="B40" s="5">
        <v>0.0088</v>
      </c>
      <c r="C40" s="5">
        <v>0.0186</v>
      </c>
      <c r="D40" s="5">
        <v>0.0186</v>
      </c>
      <c r="E40" s="5">
        <v>0.0186</v>
      </c>
    </row>
    <row r="41" ht="15.15" spans="1:5">
      <c r="A41" s="4">
        <v>45261</v>
      </c>
      <c r="B41" s="5">
        <v>0.007</v>
      </c>
      <c r="C41" s="5">
        <v>0.0133</v>
      </c>
      <c r="D41" s="5">
        <v>0.0186</v>
      </c>
      <c r="E41" s="5">
        <v>0.0186</v>
      </c>
    </row>
    <row r="42" ht="15.15" spans="1:5">
      <c r="A42" s="4">
        <v>45292</v>
      </c>
      <c r="B42" s="5">
        <v>0.0082</v>
      </c>
      <c r="C42" s="5">
        <v>0.0113</v>
      </c>
      <c r="D42" s="5">
        <v>0.0186</v>
      </c>
      <c r="E42" s="5">
        <v>0.0186</v>
      </c>
    </row>
    <row r="43" ht="15.15" spans="1:5">
      <c r="A43" s="4">
        <v>45323</v>
      </c>
      <c r="B43" s="5">
        <v>0.0054</v>
      </c>
      <c r="C43" s="5">
        <v>0.0113</v>
      </c>
      <c r="D43" s="5">
        <v>0.0186</v>
      </c>
      <c r="E43" s="5">
        <v>0.0186</v>
      </c>
    </row>
    <row r="44" ht="15.15" spans="1:5">
      <c r="A44" s="4">
        <v>45352</v>
      </c>
      <c r="B44" s="5">
        <v>0.008</v>
      </c>
      <c r="C44" s="5">
        <v>0.0082</v>
      </c>
      <c r="D44" s="5">
        <v>0.0133</v>
      </c>
      <c r="E44" s="5">
        <v>0.0186</v>
      </c>
    </row>
    <row r="45" ht="15.15" spans="1:5">
      <c r="A45" s="4">
        <v>45383</v>
      </c>
      <c r="B45" s="5">
        <v>0.0073</v>
      </c>
      <c r="C45" s="5">
        <v>0.008</v>
      </c>
      <c r="D45" s="5">
        <v>0.0113</v>
      </c>
      <c r="E45" s="5">
        <v>0.0186</v>
      </c>
    </row>
    <row r="46" ht="15.15" spans="1:5">
      <c r="A46" s="4">
        <v>45413</v>
      </c>
      <c r="B46" s="5">
        <v>0.009</v>
      </c>
      <c r="C46" s="5">
        <v>0.009</v>
      </c>
      <c r="D46" s="5">
        <v>0.0113</v>
      </c>
      <c r="E46" s="5">
        <v>0.0186</v>
      </c>
    </row>
    <row r="47" ht="15.15" spans="1:5">
      <c r="A47" s="4">
        <v>45444</v>
      </c>
      <c r="B47" s="5">
        <v>0.0093</v>
      </c>
      <c r="C47" s="5">
        <v>0.0093</v>
      </c>
      <c r="D47" s="5">
        <v>0.0093</v>
      </c>
      <c r="E47" s="5">
        <v>0.0186</v>
      </c>
    </row>
    <row r="48" ht="15.15" spans="1:5">
      <c r="A48" s="4">
        <v>45474</v>
      </c>
      <c r="B48" s="5">
        <v>0.0136</v>
      </c>
      <c r="C48" s="5">
        <v>0.0136</v>
      </c>
      <c r="D48" s="5">
        <v>0.0136</v>
      </c>
      <c r="E48" s="5">
        <v>0.0186</v>
      </c>
    </row>
    <row r="49" ht="15.15" spans="1:5">
      <c r="A49" s="4">
        <v>45505</v>
      </c>
      <c r="B49" s="5">
        <v>0.0285</v>
      </c>
      <c r="C49" s="5">
        <v>0.0364</v>
      </c>
      <c r="D49" s="5">
        <v>0.0364</v>
      </c>
      <c r="E49" s="5">
        <v>0.0364</v>
      </c>
    </row>
    <row r="50" ht="15.15" spans="1:5">
      <c r="A50" s="4">
        <v>45536</v>
      </c>
      <c r="B50" s="5">
        <v>0.0258</v>
      </c>
      <c r="C50" s="5">
        <v>0.0386</v>
      </c>
      <c r="D50" s="5">
        <v>0.0386</v>
      </c>
      <c r="E50" s="5">
        <v>0.0386</v>
      </c>
    </row>
    <row r="51" ht="15.15" spans="1:5">
      <c r="A51" s="4">
        <v>45566</v>
      </c>
      <c r="B51" s="5">
        <v>0.0214</v>
      </c>
      <c r="C51" s="5">
        <v>0.0386</v>
      </c>
      <c r="D51" s="5">
        <v>0.0386</v>
      </c>
      <c r="E51" s="5">
        <v>0.0386</v>
      </c>
    </row>
    <row r="52" ht="15.15" spans="1:5">
      <c r="A52" s="4">
        <v>45597</v>
      </c>
      <c r="B52" s="5">
        <v>0.0164</v>
      </c>
      <c r="C52" s="5">
        <v>0.0258</v>
      </c>
      <c r="D52" s="5">
        <v>0.0386</v>
      </c>
      <c r="E52" s="5">
        <v>0.0386</v>
      </c>
    </row>
    <row r="53" ht="15.15" spans="1:5">
      <c r="A53" s="4">
        <v>45627</v>
      </c>
      <c r="B53" s="5">
        <v>0.01</v>
      </c>
      <c r="C53" s="5">
        <v>0.0214</v>
      </c>
      <c r="D53" s="5">
        <v>0.0386</v>
      </c>
      <c r="E53" s="5">
        <v>0.0386</v>
      </c>
    </row>
    <row r="54" ht="15.15" spans="1:5">
      <c r="A54" s="4">
        <v>45658</v>
      </c>
      <c r="B54" s="5">
        <v>0.0043</v>
      </c>
      <c r="C54" s="5">
        <v>0.0164</v>
      </c>
      <c r="D54" s="5">
        <v>0.0386</v>
      </c>
      <c r="E54" s="5">
        <v>0.0386</v>
      </c>
    </row>
    <row r="55" ht="15.15" spans="1:5">
      <c r="A55" s="4">
        <v>45689</v>
      </c>
      <c r="B55" s="5">
        <v>0.0224</v>
      </c>
      <c r="C55" s="5">
        <v>0.0224</v>
      </c>
      <c r="D55" s="5">
        <v>0.0258</v>
      </c>
      <c r="E55" s="5">
        <v>0.0386</v>
      </c>
    </row>
    <row r="56" ht="15.15" spans="1:5">
      <c r="A56" s="4">
        <v>45717</v>
      </c>
      <c r="B56" s="5">
        <v>0.0215</v>
      </c>
      <c r="C56" s="5">
        <v>0.0396</v>
      </c>
      <c r="D56" s="5">
        <v>0.0396</v>
      </c>
      <c r="E56" s="5">
        <v>0.0396</v>
      </c>
    </row>
    <row r="57" ht="15.15" spans="1:5">
      <c r="A57" s="4">
        <v>45748</v>
      </c>
      <c r="B57" s="5">
        <v>0.0327</v>
      </c>
      <c r="C57" s="5">
        <v>0.0396</v>
      </c>
      <c r="D57" s="5">
        <v>0.0396</v>
      </c>
      <c r="E57" s="5">
        <v>0.0396</v>
      </c>
    </row>
    <row r="58" ht="15.15" spans="1:5">
      <c r="A58" s="4">
        <v>45778</v>
      </c>
      <c r="B58" s="5">
        <v>0.0098</v>
      </c>
      <c r="C58" s="5">
        <v>0.0327</v>
      </c>
      <c r="D58" s="5">
        <v>0.0396</v>
      </c>
      <c r="E58" s="5">
        <v>0.0396</v>
      </c>
    </row>
    <row r="59" ht="15.15" spans="1:5">
      <c r="A59" s="4">
        <v>45809</v>
      </c>
      <c r="B59" s="5">
        <v>0.0101</v>
      </c>
      <c r="C59" s="5">
        <v>0.0327</v>
      </c>
      <c r="D59" s="5">
        <v>0.0396</v>
      </c>
      <c r="E59" s="5">
        <v>0.0396</v>
      </c>
    </row>
    <row r="60" ht="15.15" spans="1:5">
      <c r="A60" s="6">
        <v>45839</v>
      </c>
      <c r="B60" s="7">
        <v>0.0133</v>
      </c>
      <c r="C60" s="7">
        <v>0.0133</v>
      </c>
      <c r="D60" s="7">
        <v>0.0396</v>
      </c>
      <c r="E60" s="7">
        <v>0.0396</v>
      </c>
    </row>
    <row r="61" ht="15.15" spans="1:5">
      <c r="A61" s="4">
        <v>45870</v>
      </c>
      <c r="B61" s="5">
        <v>0.0089</v>
      </c>
      <c r="C61" s="5">
        <v>0.0136</v>
      </c>
      <c r="D61" s="5">
        <v>0.0327</v>
      </c>
      <c r="E61" s="5">
        <v>0.0396</v>
      </c>
    </row>
    <row r="62" ht="15.15" spans="1:5">
      <c r="A62" s="4">
        <v>45901</v>
      </c>
      <c r="B62" s="5">
        <v>0.0116</v>
      </c>
      <c r="C62" s="5">
        <v>0.0136</v>
      </c>
      <c r="D62" s="5">
        <v>0.0327</v>
      </c>
      <c r="E62" s="5">
        <v>0.0396</v>
      </c>
    </row>
    <row r="63" ht="15.15" spans="1:5">
      <c r="A63" s="4">
        <v>45931</v>
      </c>
      <c r="B63" s="5">
        <v>0.0044</v>
      </c>
      <c r="C63" s="5">
        <v>0.0116</v>
      </c>
      <c r="D63" s="5">
        <v>0.0136</v>
      </c>
      <c r="E63" s="5">
        <v>0.0396</v>
      </c>
    </row>
    <row r="64" ht="15.15" spans="1:5">
      <c r="A64" s="4">
        <v>45962</v>
      </c>
      <c r="B64" s="5">
        <v>0.0219</v>
      </c>
      <c r="C64" s="5">
        <v>0.0219</v>
      </c>
      <c r="D64" s="5">
        <v>0.0219</v>
      </c>
      <c r="E64" s="5">
        <v>0.0396</v>
      </c>
    </row>
    <row r="65" ht="15.15" spans="1:6">
      <c r="A65" s="4">
        <v>45992</v>
      </c>
      <c r="B65" s="5">
        <v>0.0162</v>
      </c>
      <c r="C65" s="5">
        <v>0.0229</v>
      </c>
      <c r="D65" s="5">
        <v>0.0229</v>
      </c>
      <c r="E65" s="5">
        <v>0.0396</v>
      </c>
    </row>
    <row r="66" ht="15.15" spans="1:6">
      <c r="A66" s="4">
        <v>46023</v>
      </c>
      <c r="B66" s="5">
        <v>0.0112</v>
      </c>
      <c r="C66" s="5">
        <v>0.0229</v>
      </c>
      <c r="D66" s="5">
        <v>0.0229</v>
      </c>
      <c r="E66" s="5">
        <v>0.0396</v>
      </c>
    </row>
    <row r="67" ht="15.15" spans="1:6">
      <c r="A67" s="4">
        <v>46054</v>
      </c>
      <c r="B67" s="5">
        <v>0.0093</v>
      </c>
      <c r="C67" s="5">
        <v>0.0176</v>
      </c>
      <c r="D67" s="5">
        <v>0.0244</v>
      </c>
      <c r="E67" s="5">
        <v>0.0327</v>
      </c>
    </row>
    <row r="68" ht="15.15" spans="1:6">
      <c r="A68" s="4">
        <v>46082</v>
      </c>
      <c r="B68" s="5">
        <v>0.0401</v>
      </c>
      <c r="C68" s="5">
        <v>0.0401</v>
      </c>
      <c r="D68" s="5">
        <v>0.0401</v>
      </c>
      <c r="E68" s="5">
        <v>0.0401</v>
      </c>
    </row>
    <row r="69" ht="15.15" spans="1:6">
      <c r="A69" s="4">
        <v>46113</v>
      </c>
      <c r="B69" s="5">
        <v>0.0099</v>
      </c>
      <c r="C69" s="5">
        <v>0.0401</v>
      </c>
      <c r="D69" s="5">
        <v>0.0401</v>
      </c>
      <c r="E69" s="5">
        <v>0.0401</v>
      </c>
    </row>
    <row r="70" ht="15.15" spans="1:6">
      <c r="A70" s="4">
        <v>46143</v>
      </c>
      <c r="B70" s="5">
        <v>0.0182</v>
      </c>
      <c r="C70" s="5">
        <v>0.0401</v>
      </c>
      <c r="D70" s="5">
        <v>0.0401</v>
      </c>
      <c r="E70" s="5">
        <v>0.0401</v>
      </c>
    </row>
    <row r="71" ht="15.15" spans="1:6">
      <c r="A71" s="4">
        <v>46174</v>
      </c>
      <c r="B71" s="5">
        <v>0.036</v>
      </c>
      <c r="C71" s="5">
        <v>0.036</v>
      </c>
      <c r="D71" s="5">
        <v>0.0401</v>
      </c>
      <c r="E71" s="5">
        <v>0.0401</v>
      </c>
    </row>
    <row r="72" spans="1:6">
      <c r="A72" s="4">
        <v>46204</v>
      </c>
      <c r="B72" s="5">
        <v>0.0188</v>
      </c>
      <c r="C72" s="5">
        <v>0.036</v>
      </c>
      <c r="D72" s="5">
        <v>0.0401</v>
      </c>
      <c r="E72" s="5">
        <v>0.0401</v>
      </c>
    </row>
    <row r="73" spans="1:6">
      <c r="B73" s="3">
        <f>AVERAGE(B2:B72)</f>
        <v>0.0144788732394366</v>
      </c>
      <c r="C73" s="3">
        <f>AVERAGE(C2:C72)</f>
        <v>0.0223246376811594</v>
      </c>
      <c r="D73" s="3">
        <f>AVERAGE(D2:D72)</f>
        <v>0.0277939393939394</v>
      </c>
      <c r="E73" s="3">
        <f>AVERAGE(E2:E72)</f>
        <v>0.0342216666666667</v>
      </c>
      <c r="F73">
        <v>0.0478</v>
      </c>
    </row>
    <row r="74" spans="1:6">
      <c r="F74">
        <f>0.4*F73+0.2*E73+0.2*D73+0.1*C73+0.1*B73</f>
        <v>0.0352034723041808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opLeftCell="A64" workbookViewId="0">
      <selection activeCell="F83" sqref="F83"/>
    </sheetView>
  </sheetViews>
  <sheetFormatPr defaultColWidth="8.88888888888889" defaultRowHeight="14.4" outlineLevelCol="5"/>
  <cols>
    <col min="2" max="2" width="12.8888888888889"/>
    <col min="3" max="5" width="9"/>
    <col min="6" max="6" width="11.7777777777778"/>
  </cols>
  <sheetData>
    <row r="1" ht="15.15" spans="1:5">
      <c r="B1">
        <v>1</v>
      </c>
      <c r="C1">
        <v>3</v>
      </c>
      <c r="D1">
        <v>6</v>
      </c>
      <c r="E1">
        <v>12</v>
      </c>
    </row>
    <row r="2" ht="15.15" spans="1:5">
      <c r="A2" s="4">
        <v>43831</v>
      </c>
      <c r="B2" s="5">
        <v>0.074</v>
      </c>
      <c r="C2" s="5" t="s">
        <v>0</v>
      </c>
      <c r="D2" s="5" t="s">
        <v>0</v>
      </c>
      <c r="E2" s="5" t="s">
        <v>0</v>
      </c>
    </row>
    <row r="3" ht="15.15" spans="1:5">
      <c r="A3" s="4">
        <v>43862</v>
      </c>
      <c r="B3" s="5">
        <v>0.0502</v>
      </c>
      <c r="C3" s="5" t="s">
        <v>0</v>
      </c>
      <c r="D3" s="5" t="s">
        <v>0</v>
      </c>
      <c r="E3" s="5" t="s">
        <v>0</v>
      </c>
    </row>
    <row r="4" ht="15.15" spans="1:5">
      <c r="A4" s="4">
        <v>43891</v>
      </c>
      <c r="B4" s="5">
        <v>0.0914</v>
      </c>
      <c r="C4" s="5">
        <v>0.1066</v>
      </c>
      <c r="D4" s="5" t="s">
        <v>0</v>
      </c>
      <c r="E4" s="5" t="s">
        <v>0</v>
      </c>
    </row>
    <row r="5" ht="15.15" spans="1:5">
      <c r="A5" s="4">
        <v>43922</v>
      </c>
      <c r="B5" s="5">
        <v>0.0552</v>
      </c>
      <c r="C5" s="5">
        <v>0.1066</v>
      </c>
      <c r="D5" s="5" t="s">
        <v>0</v>
      </c>
      <c r="E5" s="5" t="s">
        <v>0</v>
      </c>
    </row>
    <row r="6" ht="15.15" spans="1:5">
      <c r="A6" s="4">
        <v>43952</v>
      </c>
      <c r="B6" s="5">
        <v>0.0373</v>
      </c>
      <c r="C6" s="5">
        <v>0.0914</v>
      </c>
      <c r="D6" s="5" t="s">
        <v>0</v>
      </c>
      <c r="E6" s="5" t="s">
        <v>0</v>
      </c>
    </row>
    <row r="7" ht="15.15" spans="1:5">
      <c r="A7" s="4">
        <v>43983</v>
      </c>
      <c r="B7" s="5">
        <v>0.0437</v>
      </c>
      <c r="C7" s="5">
        <v>0.0552</v>
      </c>
      <c r="D7" s="5">
        <v>0.1066</v>
      </c>
      <c r="E7" s="5" t="s">
        <v>0</v>
      </c>
    </row>
    <row r="8" ht="15.15" spans="1:5">
      <c r="A8" s="4">
        <v>44013</v>
      </c>
      <c r="B8" s="5">
        <v>0.0443</v>
      </c>
      <c r="C8" s="5">
        <v>0.0443</v>
      </c>
      <c r="D8" s="5">
        <v>0.1066</v>
      </c>
      <c r="E8" s="5" t="s">
        <v>0</v>
      </c>
    </row>
    <row r="9" ht="15.15" spans="1:5">
      <c r="A9" s="4">
        <v>44044</v>
      </c>
      <c r="B9" s="5">
        <v>0.0199</v>
      </c>
      <c r="C9" s="5">
        <v>0.0443</v>
      </c>
      <c r="D9" s="5">
        <v>0.0914</v>
      </c>
      <c r="E9" s="5" t="s">
        <v>0</v>
      </c>
    </row>
    <row r="10" ht="15.15" spans="1:5">
      <c r="A10" s="4">
        <v>44075</v>
      </c>
      <c r="B10" s="5">
        <v>0.0339</v>
      </c>
      <c r="C10" s="5">
        <v>0.0443</v>
      </c>
      <c r="D10" s="5">
        <v>0.0552</v>
      </c>
      <c r="E10" s="5" t="s">
        <v>0</v>
      </c>
    </row>
    <row r="11" ht="15.15" spans="1:5">
      <c r="A11" s="4">
        <v>44105</v>
      </c>
      <c r="B11" s="5">
        <v>0.0279</v>
      </c>
      <c r="C11" s="5">
        <v>0.0339</v>
      </c>
      <c r="D11" s="5">
        <v>0.0443</v>
      </c>
      <c r="E11" s="5" t="s">
        <v>0</v>
      </c>
    </row>
    <row r="12" ht="15.15" spans="1:5">
      <c r="A12" s="4">
        <v>44136</v>
      </c>
      <c r="B12" s="5">
        <v>0.015</v>
      </c>
      <c r="C12" s="5">
        <v>0.0366</v>
      </c>
      <c r="D12" s="5">
        <v>0.0443</v>
      </c>
      <c r="E12" s="5" t="s">
        <v>0</v>
      </c>
    </row>
    <row r="13" ht="15.15" spans="1:5">
      <c r="A13" s="4">
        <v>44166</v>
      </c>
      <c r="B13" s="5">
        <v>0.0378</v>
      </c>
      <c r="C13" s="5">
        <v>0.0378</v>
      </c>
      <c r="D13" s="5">
        <v>0.0443</v>
      </c>
      <c r="E13" s="5">
        <v>0.1066</v>
      </c>
    </row>
    <row r="14" ht="15.15" spans="1:5">
      <c r="A14" s="4">
        <v>44197</v>
      </c>
      <c r="B14" s="5">
        <v>0.0841</v>
      </c>
      <c r="C14" s="5">
        <v>0.0841</v>
      </c>
      <c r="D14" s="5">
        <v>0.0841</v>
      </c>
      <c r="E14" s="5">
        <v>0.1066</v>
      </c>
    </row>
    <row r="15" ht="15.15" spans="1:5">
      <c r="A15" s="4">
        <v>44228</v>
      </c>
      <c r="B15" s="5">
        <v>0.013</v>
      </c>
      <c r="C15" s="5">
        <v>0.0841</v>
      </c>
      <c r="D15" s="5">
        <v>0.0841</v>
      </c>
      <c r="E15" s="5">
        <v>0.0914</v>
      </c>
    </row>
    <row r="16" ht="15.15" spans="1:5">
      <c r="A16" s="4">
        <v>44256</v>
      </c>
      <c r="B16" s="5">
        <v>0.0816</v>
      </c>
      <c r="C16" s="5">
        <v>0.0841</v>
      </c>
      <c r="D16" s="5">
        <v>0.0841</v>
      </c>
      <c r="E16" s="5">
        <v>0.0841</v>
      </c>
    </row>
    <row r="17" ht="15.15" spans="1:5">
      <c r="A17" s="4">
        <v>44287</v>
      </c>
      <c r="B17" s="5">
        <v>0.039</v>
      </c>
      <c r="C17" s="5">
        <v>0.0816</v>
      </c>
      <c r="D17" s="5">
        <v>0.0841</v>
      </c>
      <c r="E17" s="5">
        <v>0.0841</v>
      </c>
    </row>
    <row r="18" ht="15.15" spans="1:5">
      <c r="A18" s="4">
        <v>44317</v>
      </c>
      <c r="B18" s="5">
        <v>0.1036</v>
      </c>
      <c r="C18" s="5">
        <v>0.1036</v>
      </c>
      <c r="D18" s="5">
        <v>0.1036</v>
      </c>
      <c r="E18" s="5">
        <v>0.1036</v>
      </c>
    </row>
    <row r="19" ht="15.15" spans="1:5">
      <c r="A19" s="4">
        <v>44348</v>
      </c>
      <c r="B19" s="5">
        <v>0.0419</v>
      </c>
      <c r="C19" s="5">
        <v>0.1067</v>
      </c>
      <c r="D19" s="5">
        <v>0.1067</v>
      </c>
      <c r="E19" s="5">
        <v>0.1067</v>
      </c>
    </row>
    <row r="20" ht="15.15" spans="1:5">
      <c r="A20" s="4">
        <v>44378</v>
      </c>
      <c r="B20" s="5">
        <v>0.0994</v>
      </c>
      <c r="C20" s="5">
        <v>0.1251</v>
      </c>
      <c r="D20" s="5">
        <v>0.1251</v>
      </c>
      <c r="E20" s="5">
        <v>0.1251</v>
      </c>
    </row>
    <row r="21" ht="15.15" spans="1:5">
      <c r="A21" s="4">
        <v>44409</v>
      </c>
      <c r="B21" s="5">
        <v>0.0325</v>
      </c>
      <c r="C21" s="5">
        <v>0.1155</v>
      </c>
      <c r="D21" s="5">
        <v>0.1407</v>
      </c>
      <c r="E21" s="5">
        <v>0.1407</v>
      </c>
    </row>
    <row r="22" ht="15.15" spans="1:5">
      <c r="A22" s="4">
        <v>44440</v>
      </c>
      <c r="B22" s="5">
        <v>0.0247</v>
      </c>
      <c r="C22" s="5">
        <v>0.1155</v>
      </c>
      <c r="D22" s="5">
        <v>0.1407</v>
      </c>
      <c r="E22" s="5">
        <v>0.1407</v>
      </c>
    </row>
    <row r="23" ht="15.15" spans="1:5">
      <c r="A23" s="4">
        <v>44470</v>
      </c>
      <c r="B23" s="5">
        <v>0.0313</v>
      </c>
      <c r="C23" s="5">
        <v>0.0325</v>
      </c>
      <c r="D23" s="5">
        <v>0.1407</v>
      </c>
      <c r="E23" s="5">
        <v>0.1407</v>
      </c>
    </row>
    <row r="24" ht="15.15" spans="1:5">
      <c r="A24" s="4">
        <v>44501</v>
      </c>
      <c r="B24" s="5">
        <v>0.0638</v>
      </c>
      <c r="C24" s="5">
        <v>0.0765</v>
      </c>
      <c r="D24" s="5">
        <v>0.1155</v>
      </c>
      <c r="E24" s="5">
        <v>0.1407</v>
      </c>
    </row>
    <row r="25" ht="15.15" spans="1:5">
      <c r="A25" s="4">
        <v>44531</v>
      </c>
      <c r="B25" s="5">
        <v>0.0489</v>
      </c>
      <c r="C25" s="5">
        <v>0.0942</v>
      </c>
      <c r="D25" s="5">
        <v>0.1155</v>
      </c>
      <c r="E25" s="5">
        <v>0.1407</v>
      </c>
    </row>
    <row r="26" ht="15.15" spans="1:5">
      <c r="A26" s="4">
        <v>44562</v>
      </c>
      <c r="B26" s="5">
        <v>0.0201</v>
      </c>
      <c r="C26" s="5">
        <v>0.0817</v>
      </c>
      <c r="D26" s="5">
        <v>0.0942</v>
      </c>
      <c r="E26" s="5">
        <v>0.1407</v>
      </c>
    </row>
    <row r="27" ht="15.15" spans="1:5">
      <c r="A27" s="4">
        <v>44593</v>
      </c>
      <c r="B27" s="5">
        <v>0.0324</v>
      </c>
      <c r="C27" s="5">
        <v>0.0489</v>
      </c>
      <c r="D27" s="5">
        <v>0.0942</v>
      </c>
      <c r="E27" s="5">
        <v>0.1407</v>
      </c>
    </row>
    <row r="28" ht="15.15" spans="1:5">
      <c r="A28" s="4">
        <v>44621</v>
      </c>
      <c r="B28" s="5">
        <v>0.0678</v>
      </c>
      <c r="C28" s="5">
        <v>0.0678</v>
      </c>
      <c r="D28" s="5">
        <v>0.0942</v>
      </c>
      <c r="E28" s="5">
        <v>0.1407</v>
      </c>
    </row>
    <row r="29" ht="15.15" spans="1:5">
      <c r="A29" s="4">
        <v>44652</v>
      </c>
      <c r="B29" s="5">
        <v>0.0912</v>
      </c>
      <c r="C29" s="5">
        <v>0.1528</v>
      </c>
      <c r="D29" s="5">
        <v>0.1528</v>
      </c>
      <c r="E29" s="5">
        <v>0.1528</v>
      </c>
    </row>
    <row r="30" ht="15.15" spans="1:5">
      <c r="A30" s="4">
        <v>44682</v>
      </c>
      <c r="B30" s="5">
        <v>0.0481</v>
      </c>
      <c r="C30" s="5">
        <v>0.1697</v>
      </c>
      <c r="D30" s="5">
        <v>0.1697</v>
      </c>
      <c r="E30" s="5">
        <v>0.1697</v>
      </c>
    </row>
    <row r="31" ht="15.15" spans="1:5">
      <c r="A31" s="4">
        <v>44713</v>
      </c>
      <c r="B31" s="5">
        <v>0.0503</v>
      </c>
      <c r="C31" s="5">
        <v>0.1093</v>
      </c>
      <c r="D31" s="5">
        <v>0.1697</v>
      </c>
      <c r="E31" s="5">
        <v>0.1697</v>
      </c>
    </row>
    <row r="32" ht="15.15" spans="1:5">
      <c r="A32" s="4">
        <v>44743</v>
      </c>
      <c r="B32" s="5">
        <v>0.0587</v>
      </c>
      <c r="C32" s="5">
        <v>0.0976</v>
      </c>
      <c r="D32" s="5">
        <v>0.1697</v>
      </c>
      <c r="E32" s="5">
        <v>0.1697</v>
      </c>
    </row>
    <row r="33" ht="15.15" spans="1:5">
      <c r="A33" s="4">
        <v>44774</v>
      </c>
      <c r="B33" s="5">
        <v>0.0797</v>
      </c>
      <c r="C33" s="5">
        <v>0.0976</v>
      </c>
      <c r="D33" s="5">
        <v>0.1697</v>
      </c>
      <c r="E33" s="5">
        <v>0.1697</v>
      </c>
    </row>
    <row r="34" ht="15.15" spans="1:5">
      <c r="A34" s="4">
        <v>44805</v>
      </c>
      <c r="B34" s="5">
        <v>0.0182</v>
      </c>
      <c r="C34" s="5">
        <v>0.0797</v>
      </c>
      <c r="D34" s="5">
        <v>0.1093</v>
      </c>
      <c r="E34" s="5">
        <v>0.1697</v>
      </c>
    </row>
    <row r="35" ht="15.15" spans="1:5">
      <c r="A35" s="4">
        <v>44835</v>
      </c>
      <c r="B35" s="5">
        <v>0.0388</v>
      </c>
      <c r="C35" s="5">
        <v>0.0797</v>
      </c>
      <c r="D35" s="5">
        <v>0.0976</v>
      </c>
      <c r="E35" s="5">
        <v>0.1697</v>
      </c>
    </row>
    <row r="36" ht="15.15" spans="1:5">
      <c r="A36" s="4">
        <v>44866</v>
      </c>
      <c r="B36" s="5">
        <v>0.0754</v>
      </c>
      <c r="C36" s="5">
        <v>0.0754</v>
      </c>
      <c r="D36" s="5">
        <v>0.0976</v>
      </c>
      <c r="E36" s="5">
        <v>0.1697</v>
      </c>
    </row>
    <row r="37" ht="15.15" spans="1:5">
      <c r="A37" s="4">
        <v>44896</v>
      </c>
      <c r="B37" s="5">
        <v>0.0818</v>
      </c>
      <c r="C37" s="5">
        <v>0.0818</v>
      </c>
      <c r="D37" s="5">
        <v>0.0818</v>
      </c>
      <c r="E37" s="5">
        <v>0.1697</v>
      </c>
    </row>
    <row r="38" ht="15.15" spans="1:5">
      <c r="A38" s="4">
        <v>44927</v>
      </c>
      <c r="B38" s="5">
        <v>0.0773</v>
      </c>
      <c r="C38" s="5">
        <v>0.0818</v>
      </c>
      <c r="D38" s="5">
        <v>0.0818</v>
      </c>
      <c r="E38" s="5">
        <v>0.1697</v>
      </c>
    </row>
    <row r="39" ht="15.15" spans="1:5">
      <c r="A39" s="4">
        <v>44958</v>
      </c>
      <c r="B39" s="5">
        <v>0.0596</v>
      </c>
      <c r="C39" s="5">
        <v>0.0818</v>
      </c>
      <c r="D39" s="5">
        <v>0.0818</v>
      </c>
      <c r="E39" s="5">
        <v>0.1697</v>
      </c>
    </row>
    <row r="40" ht="15.15" spans="1:5">
      <c r="A40" s="4">
        <v>44986</v>
      </c>
      <c r="B40" s="5">
        <v>0.0418</v>
      </c>
      <c r="C40" s="5">
        <v>0.0773</v>
      </c>
      <c r="D40" s="5">
        <v>0.0818</v>
      </c>
      <c r="E40" s="5">
        <v>0.1093</v>
      </c>
    </row>
    <row r="41" ht="15.15" spans="1:5">
      <c r="A41" s="4">
        <v>45017</v>
      </c>
      <c r="B41" s="5">
        <v>0.0574</v>
      </c>
      <c r="C41" s="5">
        <v>0.0596</v>
      </c>
      <c r="D41" s="5">
        <v>0.0818</v>
      </c>
      <c r="E41" s="5">
        <v>0.0976</v>
      </c>
    </row>
    <row r="42" ht="15.15" spans="1:5">
      <c r="A42" s="4">
        <v>45047</v>
      </c>
      <c r="B42" s="5">
        <v>0.0944</v>
      </c>
      <c r="C42" s="5">
        <v>0.0944</v>
      </c>
      <c r="D42" s="5">
        <v>0.0944</v>
      </c>
      <c r="E42" s="5">
        <v>0.0976</v>
      </c>
    </row>
    <row r="43" ht="15.15" spans="1:5">
      <c r="A43" s="4">
        <v>45078</v>
      </c>
      <c r="B43" s="5">
        <v>0.1409</v>
      </c>
      <c r="C43" s="5">
        <v>0.1409</v>
      </c>
      <c r="D43" s="5">
        <v>0.1409</v>
      </c>
      <c r="E43" s="5">
        <v>0.1409</v>
      </c>
    </row>
    <row r="44" ht="15.15" spans="1:5">
      <c r="A44" s="4">
        <v>45108</v>
      </c>
      <c r="B44" s="5">
        <v>0.043</v>
      </c>
      <c r="C44" s="5">
        <v>0.1409</v>
      </c>
      <c r="D44" s="5">
        <v>0.1409</v>
      </c>
      <c r="E44" s="5">
        <v>0.1409</v>
      </c>
    </row>
    <row r="45" ht="15.15" spans="1:5">
      <c r="A45" s="4">
        <v>45139</v>
      </c>
      <c r="B45" s="5">
        <v>0.0469</v>
      </c>
      <c r="C45" s="5">
        <v>0.1409</v>
      </c>
      <c r="D45" s="5">
        <v>0.1409</v>
      </c>
      <c r="E45" s="5">
        <v>0.1409</v>
      </c>
    </row>
    <row r="46" ht="15.15" spans="1:5">
      <c r="A46" s="4">
        <v>45170</v>
      </c>
      <c r="B46" s="5">
        <v>0.0422</v>
      </c>
      <c r="C46" s="5">
        <v>0.0592</v>
      </c>
      <c r="D46" s="5">
        <v>0.1409</v>
      </c>
      <c r="E46" s="5">
        <v>0.1409</v>
      </c>
    </row>
    <row r="47" ht="15.15" spans="1:5">
      <c r="A47" s="4">
        <v>45200</v>
      </c>
      <c r="B47" s="5">
        <v>0.1216</v>
      </c>
      <c r="C47" s="5">
        <v>0.1221</v>
      </c>
      <c r="D47" s="5">
        <v>0.145</v>
      </c>
      <c r="E47" s="5">
        <v>0.145</v>
      </c>
    </row>
    <row r="48" ht="15.15" spans="1:5">
      <c r="A48" s="4">
        <v>45231</v>
      </c>
      <c r="B48" s="5">
        <v>0.052</v>
      </c>
      <c r="C48" s="5">
        <v>0.1484</v>
      </c>
      <c r="D48" s="5">
        <v>0.1711</v>
      </c>
      <c r="E48" s="5">
        <v>0.1711</v>
      </c>
    </row>
    <row r="49" ht="15.15" spans="1:5">
      <c r="A49" s="4">
        <v>45261</v>
      </c>
      <c r="B49" s="5">
        <v>0.0295</v>
      </c>
      <c r="C49" s="5">
        <v>0.1484</v>
      </c>
      <c r="D49" s="5">
        <v>0.1489</v>
      </c>
      <c r="E49" s="5">
        <v>0.1711</v>
      </c>
    </row>
    <row r="50" ht="15.15" spans="1:5">
      <c r="A50" s="4">
        <v>45292</v>
      </c>
      <c r="B50" s="5">
        <v>0.0547</v>
      </c>
      <c r="C50" s="5">
        <v>0.0547</v>
      </c>
      <c r="D50" s="5">
        <v>0.1489</v>
      </c>
      <c r="E50" s="5">
        <v>0.1711</v>
      </c>
    </row>
    <row r="51" ht="15.15" spans="1:5">
      <c r="A51" s="4">
        <v>45323</v>
      </c>
      <c r="B51" s="5">
        <v>0.0516</v>
      </c>
      <c r="C51" s="5">
        <v>0.0547</v>
      </c>
      <c r="D51" s="5">
        <v>0.1484</v>
      </c>
      <c r="E51" s="5">
        <v>0.1711</v>
      </c>
    </row>
    <row r="52" ht="15.15" spans="1:5">
      <c r="A52" s="4">
        <v>45352</v>
      </c>
      <c r="B52" s="5">
        <v>0.068</v>
      </c>
      <c r="C52" s="5">
        <v>0.068</v>
      </c>
      <c r="D52" s="5">
        <v>0.1484</v>
      </c>
      <c r="E52" s="5">
        <v>0.1711</v>
      </c>
    </row>
    <row r="53" ht="15.15" spans="1:5">
      <c r="A53" s="4">
        <v>45383</v>
      </c>
      <c r="B53" s="5">
        <v>0.047</v>
      </c>
      <c r="C53" s="5">
        <v>0.068</v>
      </c>
      <c r="D53" s="5">
        <v>0.068</v>
      </c>
      <c r="E53" s="5">
        <v>0.1711</v>
      </c>
    </row>
    <row r="54" ht="15.15" spans="1:5">
      <c r="A54" s="4">
        <v>45413</v>
      </c>
      <c r="B54" s="5">
        <v>0.0563</v>
      </c>
      <c r="C54" s="5">
        <v>0.068</v>
      </c>
      <c r="D54" s="5">
        <v>0.068</v>
      </c>
      <c r="E54" s="5">
        <v>0.1711</v>
      </c>
    </row>
    <row r="55" ht="15.15" spans="1:5">
      <c r="A55" s="4">
        <v>45444</v>
      </c>
      <c r="B55" s="5">
        <v>0.0292</v>
      </c>
      <c r="C55" s="5">
        <v>0.0563</v>
      </c>
      <c r="D55" s="5">
        <v>0.068</v>
      </c>
      <c r="E55" s="5">
        <v>0.1489</v>
      </c>
    </row>
    <row r="56" ht="15.15" spans="1:5">
      <c r="A56" s="4">
        <v>45474</v>
      </c>
      <c r="B56" s="5">
        <v>0.0925</v>
      </c>
      <c r="C56" s="5">
        <v>0.0925</v>
      </c>
      <c r="D56" s="5">
        <v>0.0925</v>
      </c>
      <c r="E56" s="5">
        <v>0.1489</v>
      </c>
    </row>
    <row r="57" ht="15.15" spans="1:5">
      <c r="A57" s="4">
        <v>45505</v>
      </c>
      <c r="B57" s="5">
        <v>0.0247</v>
      </c>
      <c r="C57" s="5">
        <v>0.0957</v>
      </c>
      <c r="D57" s="5">
        <v>0.0957</v>
      </c>
      <c r="E57" s="5">
        <v>0.1484</v>
      </c>
    </row>
    <row r="58" ht="15.15" spans="1:5">
      <c r="A58" s="4">
        <v>45536</v>
      </c>
      <c r="B58" s="5">
        <v>0.0427</v>
      </c>
      <c r="C58" s="5">
        <v>0.1119</v>
      </c>
      <c r="D58" s="5">
        <v>0.1119</v>
      </c>
      <c r="E58" s="5">
        <v>0.1484</v>
      </c>
    </row>
    <row r="59" ht="15.15" spans="1:5">
      <c r="A59" s="4">
        <v>45566</v>
      </c>
      <c r="B59" s="5">
        <v>0.0234</v>
      </c>
      <c r="C59" s="5">
        <v>0.0427</v>
      </c>
      <c r="D59" s="5">
        <v>0.1119</v>
      </c>
      <c r="E59" s="5">
        <v>0.1119</v>
      </c>
    </row>
    <row r="60" ht="15.15" spans="1:5">
      <c r="A60" s="4">
        <v>45597</v>
      </c>
      <c r="B60" s="5">
        <v>0.122</v>
      </c>
      <c r="C60" s="5">
        <v>0.122</v>
      </c>
      <c r="D60" s="5">
        <v>0.122</v>
      </c>
      <c r="E60" s="5">
        <v>0.122</v>
      </c>
    </row>
    <row r="61" ht="15.15" spans="1:5">
      <c r="A61" s="4">
        <v>45627</v>
      </c>
      <c r="B61" s="5">
        <v>0.046</v>
      </c>
      <c r="C61" s="5">
        <v>0.122</v>
      </c>
      <c r="D61" s="5">
        <v>0.122</v>
      </c>
      <c r="E61" s="5">
        <v>0.122</v>
      </c>
    </row>
    <row r="62" ht="15.15" spans="1:5">
      <c r="A62" s="4">
        <v>45658</v>
      </c>
      <c r="B62" s="5">
        <v>0.0398</v>
      </c>
      <c r="C62" s="5">
        <v>0.122</v>
      </c>
      <c r="D62" s="5">
        <v>0.122</v>
      </c>
      <c r="E62" s="5">
        <v>0.122</v>
      </c>
    </row>
    <row r="63" ht="15.15" spans="1:5">
      <c r="A63" s="4">
        <v>45689</v>
      </c>
      <c r="B63" s="5">
        <v>0.0276</v>
      </c>
      <c r="C63" s="5">
        <v>0.046</v>
      </c>
      <c r="D63" s="5">
        <v>0.122</v>
      </c>
      <c r="E63" s="5">
        <v>0.122</v>
      </c>
    </row>
    <row r="64" ht="15.15" spans="1:5">
      <c r="A64" s="4">
        <v>45717</v>
      </c>
      <c r="B64" s="5">
        <v>0.0797</v>
      </c>
      <c r="C64" s="5">
        <v>0.0797</v>
      </c>
      <c r="D64" s="5">
        <v>0.122</v>
      </c>
      <c r="E64" s="5">
        <v>0.122</v>
      </c>
    </row>
    <row r="65" ht="15.15" spans="1:5">
      <c r="A65" s="4">
        <v>45748</v>
      </c>
      <c r="B65" s="5">
        <v>0.0306</v>
      </c>
      <c r="C65" s="5">
        <v>0.0847</v>
      </c>
      <c r="D65" s="5">
        <v>0.122</v>
      </c>
      <c r="E65" s="5">
        <v>0.122</v>
      </c>
    </row>
    <row r="66" ht="15.15" spans="1:5">
      <c r="A66" s="4">
        <v>45778</v>
      </c>
      <c r="B66" s="5">
        <v>0.0208</v>
      </c>
      <c r="C66" s="5">
        <v>0.0847</v>
      </c>
      <c r="D66" s="5">
        <v>0.0847</v>
      </c>
      <c r="E66" s="5">
        <v>0.122</v>
      </c>
    </row>
    <row r="67" ht="15.15" spans="1:5">
      <c r="A67" s="4">
        <v>45809</v>
      </c>
      <c r="B67" s="5">
        <v>0.0701</v>
      </c>
      <c r="C67" s="5">
        <v>0.0701</v>
      </c>
      <c r="D67" s="5">
        <v>0.0847</v>
      </c>
      <c r="E67" s="5">
        <v>0.122</v>
      </c>
    </row>
    <row r="68" ht="15.15" spans="1:5">
      <c r="A68" s="4">
        <v>45839</v>
      </c>
      <c r="B68" s="5">
        <v>0.0477</v>
      </c>
      <c r="C68" s="5">
        <v>0.1098</v>
      </c>
      <c r="D68" s="5">
        <v>0.1098</v>
      </c>
      <c r="E68" s="5">
        <v>0.122</v>
      </c>
    </row>
    <row r="69" ht="15.15" spans="1:5">
      <c r="A69" s="4">
        <v>45870</v>
      </c>
      <c r="B69" s="5">
        <v>0.0277</v>
      </c>
      <c r="C69" s="5">
        <v>0.1098</v>
      </c>
      <c r="D69" s="5">
        <v>0.1098</v>
      </c>
      <c r="E69" s="5">
        <v>0.122</v>
      </c>
    </row>
    <row r="70" ht="15.15" spans="1:5">
      <c r="A70" s="4">
        <v>45901</v>
      </c>
      <c r="B70" s="5">
        <v>0.0405</v>
      </c>
      <c r="C70" s="5">
        <v>0.0477</v>
      </c>
      <c r="D70" s="5">
        <v>0.1098</v>
      </c>
      <c r="E70" s="5">
        <v>0.122</v>
      </c>
    </row>
    <row r="71" ht="15.15" spans="1:5">
      <c r="A71" s="4">
        <v>45931</v>
      </c>
      <c r="B71" s="5">
        <v>0.083</v>
      </c>
      <c r="C71" s="5">
        <v>0.083</v>
      </c>
      <c r="D71" s="5">
        <v>0.1098</v>
      </c>
      <c r="E71" s="5">
        <v>0.122</v>
      </c>
    </row>
    <row r="72" ht="15.15" spans="1:5">
      <c r="A72" s="4">
        <v>45962</v>
      </c>
      <c r="B72" s="5">
        <v>0.0901</v>
      </c>
      <c r="C72" s="5">
        <v>0.0983</v>
      </c>
      <c r="D72" s="5">
        <v>0.1098</v>
      </c>
      <c r="E72" s="5">
        <v>0.1098</v>
      </c>
    </row>
    <row r="73" ht="15.15" spans="1:5">
      <c r="A73" s="4">
        <v>45992</v>
      </c>
      <c r="B73" s="5">
        <v>0.0442</v>
      </c>
      <c r="C73" s="5">
        <v>0.1177</v>
      </c>
      <c r="D73" s="5">
        <v>0.1177</v>
      </c>
      <c r="E73" s="5">
        <v>0.1177</v>
      </c>
    </row>
    <row r="74" ht="15.15" spans="1:5">
      <c r="A74" s="4">
        <v>46023</v>
      </c>
      <c r="B74" s="5">
        <v>0.0607</v>
      </c>
      <c r="C74" s="5">
        <v>0.1096</v>
      </c>
      <c r="D74" s="5">
        <v>0.1177</v>
      </c>
      <c r="E74" s="5">
        <v>0.1177</v>
      </c>
    </row>
    <row r="75" ht="15.15" spans="1:5">
      <c r="A75" s="4">
        <v>46054</v>
      </c>
      <c r="B75" s="5">
        <v>0.2423</v>
      </c>
      <c r="C75" s="5">
        <v>0.2423</v>
      </c>
      <c r="D75" s="5">
        <v>0.2423</v>
      </c>
      <c r="E75" s="5">
        <v>0.2423</v>
      </c>
    </row>
    <row r="76" ht="15.15" spans="1:5">
      <c r="A76" s="4">
        <v>46082</v>
      </c>
      <c r="B76" s="5">
        <v>0.0714</v>
      </c>
      <c r="C76" s="5">
        <v>0.2423</v>
      </c>
      <c r="D76" s="5">
        <v>0.2423</v>
      </c>
      <c r="E76" s="5">
        <v>0.2423</v>
      </c>
    </row>
    <row r="77" ht="15.15" spans="1:5">
      <c r="A77" s="4">
        <v>46113</v>
      </c>
      <c r="B77" s="5">
        <v>0.0457</v>
      </c>
      <c r="C77" s="5">
        <v>0.2423</v>
      </c>
      <c r="D77" s="5">
        <v>0.2423</v>
      </c>
      <c r="E77" s="5">
        <v>0.2423</v>
      </c>
    </row>
    <row r="78" ht="15.15" spans="1:5">
      <c r="A78" s="4">
        <v>46143</v>
      </c>
      <c r="B78" s="5">
        <v>0.0767</v>
      </c>
      <c r="C78" s="5">
        <v>0.1139</v>
      </c>
      <c r="D78" s="5">
        <v>0.2423</v>
      </c>
      <c r="E78" s="5">
        <v>0.2423</v>
      </c>
    </row>
    <row r="79" ht="15.15" spans="1:5">
      <c r="A79" s="4">
        <v>46174</v>
      </c>
      <c r="B79" s="5">
        <v>0.0775</v>
      </c>
      <c r="C79" s="5">
        <v>0.0877</v>
      </c>
      <c r="D79" s="5">
        <v>0.2423</v>
      </c>
      <c r="E79" s="5">
        <v>0.2423</v>
      </c>
    </row>
    <row r="80" ht="15.15" spans="1:5">
      <c r="A80" s="4">
        <v>46204</v>
      </c>
      <c r="B80" s="5">
        <v>0.1175</v>
      </c>
      <c r="C80" s="5">
        <v>0.1175</v>
      </c>
      <c r="D80" s="5">
        <v>0.2423</v>
      </c>
      <c r="E80" s="5">
        <v>0.2423</v>
      </c>
    </row>
    <row r="81" ht="15.15" spans="1:6">
      <c r="A81" s="4">
        <v>46235</v>
      </c>
      <c r="B81" s="5">
        <v>0.0605</v>
      </c>
      <c r="C81" s="5">
        <v>0.1245</v>
      </c>
      <c r="D81" s="5">
        <v>0.1245</v>
      </c>
      <c r="E81" s="5">
        <v>0.2423</v>
      </c>
    </row>
    <row r="82" ht="15.15" spans="1:6">
      <c r="A82" s="6">
        <v>46266</v>
      </c>
      <c r="B82" s="7">
        <v>0</v>
      </c>
      <c r="C82" s="7">
        <v>0.1245</v>
      </c>
      <c r="D82" s="7">
        <v>0.1245</v>
      </c>
      <c r="E82" s="7">
        <v>0.2423</v>
      </c>
    </row>
    <row r="83" spans="1:6">
      <c r="B83" s="3">
        <f>AVERAGE(B2:B82)</f>
        <v>0.0577246913580247</v>
      </c>
      <c r="C83" s="3">
        <f>AVERAGE(C2:C82)</f>
        <v>0.0956556962025316</v>
      </c>
      <c r="D83" s="3">
        <f>AVERAGE(D2:D82)</f>
        <v>0.121297368421053</v>
      </c>
      <c r="E83" s="3">
        <f>AVERAGE(E2:E82)</f>
        <v>0.149264285714286</v>
      </c>
      <c r="F83">
        <v>0.2423</v>
      </c>
    </row>
    <row r="84" spans="1:6">
      <c r="F84">
        <f>0.4*F83+0.2*E83+0.2*D83+0.1*C83+0.1*B83</f>
        <v>0.166370369583123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topLeftCell="A184" workbookViewId="0">
      <selection activeCell="G214" sqref="G214"/>
    </sheetView>
  </sheetViews>
  <sheetFormatPr defaultColWidth="8.88888888888889" defaultRowHeight="14.4" outlineLevelCol="5"/>
  <cols>
    <col min="2" max="3" width="9"/>
    <col min="6" max="6" width="12.8888888888889"/>
  </cols>
  <sheetData>
    <row r="1" ht="15.15" spans="1:5">
      <c r="B1">
        <v>1</v>
      </c>
      <c r="C1">
        <v>3</v>
      </c>
      <c r="D1">
        <v>6</v>
      </c>
      <c r="E1">
        <v>12</v>
      </c>
    </row>
    <row r="2" ht="15.15" spans="1:5">
      <c r="A2" s="4">
        <v>40179</v>
      </c>
      <c r="B2" s="5">
        <v>0</v>
      </c>
      <c r="C2" s="5" t="s">
        <v>0</v>
      </c>
      <c r="D2" s="5" t="s">
        <v>0</v>
      </c>
      <c r="E2" s="5" t="s">
        <v>0</v>
      </c>
    </row>
    <row r="3" ht="15.15" spans="1:5">
      <c r="A3" s="4">
        <v>40210</v>
      </c>
      <c r="B3" s="5">
        <v>0.017</v>
      </c>
      <c r="C3" s="5" t="s">
        <v>0</v>
      </c>
      <c r="D3" s="5" t="s">
        <v>0</v>
      </c>
      <c r="E3" s="5" t="s">
        <v>0</v>
      </c>
    </row>
    <row r="4" ht="15.15" spans="1:5">
      <c r="A4" s="4">
        <v>40238</v>
      </c>
      <c r="B4" s="5">
        <v>0.0414</v>
      </c>
      <c r="C4" s="5">
        <v>0.0414</v>
      </c>
      <c r="D4" s="5" t="s">
        <v>0</v>
      </c>
      <c r="E4" s="5" t="s">
        <v>0</v>
      </c>
    </row>
    <row r="5" ht="15.15" spans="1:5">
      <c r="A5" s="4">
        <v>40269</v>
      </c>
      <c r="B5" s="5">
        <v>0</v>
      </c>
      <c r="C5" s="5">
        <v>0.0414</v>
      </c>
      <c r="D5" s="5" t="s">
        <v>0</v>
      </c>
      <c r="E5" s="5" t="s">
        <v>0</v>
      </c>
    </row>
    <row r="6" ht="15.15" spans="1:5">
      <c r="A6" s="4">
        <v>40299</v>
      </c>
      <c r="B6" s="5">
        <v>0.1136</v>
      </c>
      <c r="C6" s="5">
        <v>0.1136</v>
      </c>
      <c r="D6" s="5" t="s">
        <v>0</v>
      </c>
      <c r="E6" s="5" t="s">
        <v>0</v>
      </c>
    </row>
    <row r="7" ht="15.15" spans="1:5">
      <c r="A7" s="4">
        <v>40330</v>
      </c>
      <c r="B7" s="5">
        <v>0.1254</v>
      </c>
      <c r="C7" s="5">
        <v>0.1492</v>
      </c>
      <c r="D7" s="5">
        <v>0.1492</v>
      </c>
      <c r="E7" s="5" t="s">
        <v>0</v>
      </c>
    </row>
    <row r="8" ht="15.15" spans="1:5">
      <c r="A8" s="4">
        <v>40360</v>
      </c>
      <c r="B8" s="5">
        <v>0.0181</v>
      </c>
      <c r="C8" s="5">
        <v>0.1492</v>
      </c>
      <c r="D8" s="5">
        <v>0.1492</v>
      </c>
      <c r="E8" s="5" t="s">
        <v>0</v>
      </c>
    </row>
    <row r="9" ht="15.15" spans="1:5">
      <c r="A9" s="4">
        <v>40391</v>
      </c>
      <c r="B9" s="5">
        <v>0.0323</v>
      </c>
      <c r="C9" s="5">
        <v>0.1254</v>
      </c>
      <c r="D9" s="5">
        <v>0.1492</v>
      </c>
      <c r="E9" s="5" t="s">
        <v>0</v>
      </c>
    </row>
    <row r="10" ht="15.15" spans="1:5">
      <c r="A10" s="4">
        <v>40422</v>
      </c>
      <c r="B10" s="5">
        <v>0.0547</v>
      </c>
      <c r="C10" s="5">
        <v>0.0547</v>
      </c>
      <c r="D10" s="5">
        <v>0.1492</v>
      </c>
      <c r="E10" s="5" t="s">
        <v>0</v>
      </c>
    </row>
    <row r="11" ht="15.15" spans="1:5">
      <c r="A11" s="4">
        <v>40452</v>
      </c>
      <c r="B11" s="5">
        <v>0.0693</v>
      </c>
      <c r="C11" s="5">
        <v>0.0771</v>
      </c>
      <c r="D11" s="5">
        <v>0.1492</v>
      </c>
      <c r="E11" s="5" t="s">
        <v>0</v>
      </c>
    </row>
    <row r="12" ht="15.15" spans="1:5">
      <c r="A12" s="4">
        <v>40483</v>
      </c>
      <c r="B12" s="5">
        <v>0.1014</v>
      </c>
      <c r="C12" s="5">
        <v>0.1014</v>
      </c>
      <c r="D12" s="5">
        <v>0.1254</v>
      </c>
      <c r="E12" s="5" t="s">
        <v>0</v>
      </c>
    </row>
    <row r="13" ht="15.15" spans="1:5">
      <c r="A13" s="4">
        <v>40513</v>
      </c>
      <c r="B13" s="5">
        <v>0.0897</v>
      </c>
      <c r="C13" s="5">
        <v>0.1018</v>
      </c>
      <c r="D13" s="5">
        <v>0.1018</v>
      </c>
      <c r="E13" s="5">
        <v>0.1492</v>
      </c>
    </row>
    <row r="14" ht="15.15" spans="1:5">
      <c r="A14" s="4">
        <v>40544</v>
      </c>
      <c r="B14" s="5">
        <v>0.0021</v>
      </c>
      <c r="C14" s="5">
        <v>0.1018</v>
      </c>
      <c r="D14" s="5">
        <v>0.1018</v>
      </c>
      <c r="E14" s="5">
        <v>0.1492</v>
      </c>
    </row>
    <row r="15" ht="15.15" spans="1:5">
      <c r="A15" s="4">
        <v>40575</v>
      </c>
      <c r="B15" s="5">
        <v>0.0304</v>
      </c>
      <c r="C15" s="5">
        <v>0.0897</v>
      </c>
      <c r="D15" s="5">
        <v>0.1018</v>
      </c>
      <c r="E15" s="5">
        <v>0.1492</v>
      </c>
    </row>
    <row r="16" ht="15.15" spans="1:5">
      <c r="A16" s="4">
        <v>40603</v>
      </c>
      <c r="B16" s="5">
        <v>0.0463</v>
      </c>
      <c r="C16" s="5">
        <v>0.0463</v>
      </c>
      <c r="D16" s="5">
        <v>0.1018</v>
      </c>
      <c r="E16" s="5">
        <v>0.1492</v>
      </c>
    </row>
    <row r="17" ht="15.15" spans="1:5">
      <c r="A17" s="4">
        <v>40634</v>
      </c>
      <c r="B17" s="5">
        <v>0.0008</v>
      </c>
      <c r="C17" s="5">
        <v>0.047</v>
      </c>
      <c r="D17" s="5">
        <v>0.1018</v>
      </c>
      <c r="E17" s="5">
        <v>0.1492</v>
      </c>
    </row>
    <row r="18" ht="15.15" spans="1:5">
      <c r="A18" s="4">
        <v>40664</v>
      </c>
      <c r="B18" s="5">
        <v>0.1049</v>
      </c>
      <c r="C18" s="5">
        <v>0.1222</v>
      </c>
      <c r="D18" s="5">
        <v>0.1222</v>
      </c>
      <c r="E18" s="5">
        <v>0.1254</v>
      </c>
    </row>
    <row r="19" ht="15.15" spans="1:5">
      <c r="A19" s="4">
        <v>40695</v>
      </c>
      <c r="B19" s="5">
        <v>0.0706</v>
      </c>
      <c r="C19" s="5">
        <v>0.1137</v>
      </c>
      <c r="D19" s="5">
        <v>0.1308</v>
      </c>
      <c r="E19" s="5">
        <v>0.1308</v>
      </c>
    </row>
    <row r="20" ht="15.15" spans="1:5">
      <c r="A20" s="4">
        <v>40725</v>
      </c>
      <c r="B20" s="5">
        <v>0.0825</v>
      </c>
      <c r="C20" s="5">
        <v>0.1137</v>
      </c>
      <c r="D20" s="5">
        <v>0.1308</v>
      </c>
      <c r="E20" s="5">
        <v>0.1308</v>
      </c>
    </row>
    <row r="21" ht="15.15" spans="1:5">
      <c r="A21" s="4">
        <v>40756</v>
      </c>
      <c r="B21" s="5">
        <v>0.0731</v>
      </c>
      <c r="C21" s="5">
        <v>0.1307</v>
      </c>
      <c r="D21" s="5">
        <v>0.1308</v>
      </c>
      <c r="E21" s="5">
        <v>0.1308</v>
      </c>
    </row>
    <row r="22" ht="15.15" spans="1:5">
      <c r="A22" s="4">
        <v>40787</v>
      </c>
      <c r="B22" s="5">
        <v>0.0733</v>
      </c>
      <c r="C22" s="5">
        <v>0.146</v>
      </c>
      <c r="D22" s="5">
        <v>0.146</v>
      </c>
      <c r="E22" s="5">
        <v>0.146</v>
      </c>
    </row>
    <row r="23" ht="15.15" spans="1:5">
      <c r="A23" s="4">
        <v>40817</v>
      </c>
      <c r="B23" s="5">
        <v>0.0697</v>
      </c>
      <c r="C23" s="5">
        <v>0.1391</v>
      </c>
      <c r="D23" s="5">
        <v>0.1779</v>
      </c>
      <c r="E23" s="5">
        <v>0.1779</v>
      </c>
    </row>
    <row r="24" ht="15.15" spans="1:5">
      <c r="A24" s="4">
        <v>40848</v>
      </c>
      <c r="B24" s="5">
        <v>0.0979</v>
      </c>
      <c r="C24" s="5">
        <v>0.1079</v>
      </c>
      <c r="D24" s="5">
        <v>0.1779</v>
      </c>
      <c r="E24" s="5">
        <v>0.1779</v>
      </c>
    </row>
    <row r="25" ht="15.15" spans="1:5">
      <c r="A25" s="4">
        <v>40878</v>
      </c>
      <c r="B25" s="5">
        <v>0.1791</v>
      </c>
      <c r="C25" s="5">
        <v>0.2466</v>
      </c>
      <c r="D25" s="5">
        <v>0.2893</v>
      </c>
      <c r="E25" s="5">
        <v>0.2893</v>
      </c>
    </row>
    <row r="26" ht="15.15" spans="1:5">
      <c r="A26" s="4">
        <v>40909</v>
      </c>
      <c r="B26" s="5">
        <v>0.0304</v>
      </c>
      <c r="C26" s="5">
        <v>0.2466</v>
      </c>
      <c r="D26" s="5">
        <v>0.2558</v>
      </c>
      <c r="E26" s="5">
        <v>0.2893</v>
      </c>
    </row>
    <row r="27" ht="15.15" spans="1:5">
      <c r="A27" s="4">
        <v>40940</v>
      </c>
      <c r="B27" s="5">
        <v>0.0247</v>
      </c>
      <c r="C27" s="5">
        <v>0.1791</v>
      </c>
      <c r="D27" s="5">
        <v>0.2466</v>
      </c>
      <c r="E27" s="5">
        <v>0.2893</v>
      </c>
    </row>
    <row r="28" ht="15.15" spans="1:5">
      <c r="A28" s="4">
        <v>40969</v>
      </c>
      <c r="B28" s="5">
        <v>0.101</v>
      </c>
      <c r="C28" s="5">
        <v>0.101</v>
      </c>
      <c r="D28" s="5">
        <v>0.2466</v>
      </c>
      <c r="E28" s="5">
        <v>0.2893</v>
      </c>
    </row>
    <row r="29" ht="15.15" spans="1:5">
      <c r="A29" s="4">
        <v>41000</v>
      </c>
      <c r="B29" s="5">
        <v>0.0173</v>
      </c>
      <c r="C29" s="5">
        <v>0.101</v>
      </c>
      <c r="D29" s="5">
        <v>0.2466</v>
      </c>
      <c r="E29" s="5">
        <v>0.2893</v>
      </c>
    </row>
    <row r="30" ht="15.15" spans="1:5">
      <c r="A30" s="4">
        <v>41030</v>
      </c>
      <c r="B30" s="5">
        <v>0.0421</v>
      </c>
      <c r="C30" s="5">
        <v>0.101</v>
      </c>
      <c r="D30" s="5">
        <v>0.1791</v>
      </c>
      <c r="E30" s="5">
        <v>0.2893</v>
      </c>
    </row>
    <row r="31" ht="15.15" spans="1:5">
      <c r="A31" s="4">
        <v>41061</v>
      </c>
      <c r="B31" s="5">
        <v>0.0536</v>
      </c>
      <c r="C31" s="5">
        <v>0.0635</v>
      </c>
      <c r="D31" s="5">
        <v>0.1048</v>
      </c>
      <c r="E31" s="5">
        <v>0.2893</v>
      </c>
    </row>
    <row r="32" ht="15.15" spans="1:5">
      <c r="A32" s="4">
        <v>41091</v>
      </c>
      <c r="B32" s="5">
        <v>0.1565</v>
      </c>
      <c r="C32" s="5">
        <v>0.2004</v>
      </c>
      <c r="D32" s="5">
        <v>0.2357</v>
      </c>
      <c r="E32" s="5">
        <v>0.3407</v>
      </c>
    </row>
    <row r="33" ht="15.15" spans="1:5">
      <c r="A33" s="4">
        <v>41122</v>
      </c>
      <c r="B33" s="5">
        <v>0.0519</v>
      </c>
      <c r="C33" s="5">
        <v>0.193</v>
      </c>
      <c r="D33" s="5">
        <v>0.2367</v>
      </c>
      <c r="E33" s="5">
        <v>0.3335</v>
      </c>
    </row>
    <row r="34" ht="15.15" spans="1:5">
      <c r="A34" s="4">
        <v>41153</v>
      </c>
      <c r="B34" s="5">
        <v>0.1012</v>
      </c>
      <c r="C34" s="5">
        <v>0.1577</v>
      </c>
      <c r="D34" s="5">
        <v>0.2015</v>
      </c>
      <c r="E34" s="5">
        <v>0.3335</v>
      </c>
    </row>
    <row r="35" ht="15.15" spans="1:5">
      <c r="A35" s="4">
        <v>41183</v>
      </c>
      <c r="B35" s="5">
        <v>0.0648</v>
      </c>
      <c r="C35" s="5">
        <v>0.1012</v>
      </c>
      <c r="D35" s="5">
        <v>0.2015</v>
      </c>
      <c r="E35" s="5">
        <v>0.3335</v>
      </c>
    </row>
    <row r="36" ht="15.15" spans="1:5">
      <c r="A36" s="4">
        <v>41214</v>
      </c>
      <c r="B36" s="5">
        <v>0.1247</v>
      </c>
      <c r="C36" s="5">
        <v>0.164</v>
      </c>
      <c r="D36" s="5">
        <v>0.2267</v>
      </c>
      <c r="E36" s="5">
        <v>0.3041</v>
      </c>
    </row>
    <row r="37" ht="15.15" spans="1:5">
      <c r="A37" s="4">
        <v>41244</v>
      </c>
      <c r="B37" s="5">
        <v>0.0357</v>
      </c>
      <c r="C37" s="5">
        <v>0.1601</v>
      </c>
      <c r="D37" s="5">
        <v>0.1989</v>
      </c>
      <c r="E37" s="5">
        <v>0.2741</v>
      </c>
    </row>
    <row r="38" ht="15.15" spans="1:5">
      <c r="A38" s="4">
        <v>41275</v>
      </c>
      <c r="B38" s="5">
        <v>0.0053</v>
      </c>
      <c r="C38" s="5">
        <v>0.1313</v>
      </c>
      <c r="D38" s="5">
        <v>0.1703</v>
      </c>
      <c r="E38" s="5">
        <v>0.2741</v>
      </c>
    </row>
    <row r="39" ht="15.15" spans="1:5">
      <c r="A39" s="4">
        <v>41306</v>
      </c>
      <c r="B39" s="5">
        <v>0.0196</v>
      </c>
      <c r="C39" s="5">
        <v>0.0357</v>
      </c>
      <c r="D39" s="5">
        <v>0.1703</v>
      </c>
      <c r="E39" s="5">
        <v>0.2741</v>
      </c>
    </row>
    <row r="40" ht="15.15" spans="1:5">
      <c r="A40" s="4">
        <v>41334</v>
      </c>
      <c r="B40" s="5">
        <v>0.0648</v>
      </c>
      <c r="C40" s="5">
        <v>0.0648</v>
      </c>
      <c r="D40" s="5">
        <v>0.1601</v>
      </c>
      <c r="E40" s="5">
        <v>0.2406</v>
      </c>
    </row>
    <row r="41" ht="15.15" spans="1:5">
      <c r="A41" s="4">
        <v>41365</v>
      </c>
      <c r="B41" s="5">
        <v>0.0012</v>
      </c>
      <c r="C41" s="5">
        <v>0.0648</v>
      </c>
      <c r="D41" s="5">
        <v>0.1313</v>
      </c>
      <c r="E41" s="5">
        <v>0.2406</v>
      </c>
    </row>
    <row r="42" ht="15.15" spans="1:5">
      <c r="A42" s="4">
        <v>41395</v>
      </c>
      <c r="B42" s="5">
        <v>0.0116</v>
      </c>
      <c r="C42" s="5">
        <v>0.0648</v>
      </c>
      <c r="D42" s="5">
        <v>0.0648</v>
      </c>
      <c r="E42" s="5">
        <v>0.2326</v>
      </c>
    </row>
    <row r="43" ht="15.15" spans="1:5">
      <c r="A43" s="4">
        <v>41426</v>
      </c>
      <c r="B43" s="5">
        <v>0.1076</v>
      </c>
      <c r="C43" s="5">
        <v>0.1076</v>
      </c>
      <c r="D43" s="5">
        <v>0.1076</v>
      </c>
      <c r="E43" s="5">
        <v>0.1989</v>
      </c>
    </row>
    <row r="44" ht="15.15" spans="1:5">
      <c r="A44" s="4">
        <v>41456</v>
      </c>
      <c r="B44" s="5">
        <v>0.0268</v>
      </c>
      <c r="C44" s="5">
        <v>0.1076</v>
      </c>
      <c r="D44" s="5">
        <v>0.1076</v>
      </c>
      <c r="E44" s="5">
        <v>0.1703</v>
      </c>
    </row>
    <row r="45" ht="15.15" spans="1:5">
      <c r="A45" s="4">
        <v>41487</v>
      </c>
      <c r="B45" s="5">
        <v>0.037</v>
      </c>
      <c r="C45" s="5">
        <v>0.1076</v>
      </c>
      <c r="D45" s="5">
        <v>0.1076</v>
      </c>
      <c r="E45" s="5">
        <v>0.1703</v>
      </c>
    </row>
    <row r="46" ht="15.15" spans="1:5">
      <c r="A46" s="4">
        <v>41518</v>
      </c>
      <c r="B46" s="5">
        <v>0.0132</v>
      </c>
      <c r="C46" s="5">
        <v>0.037</v>
      </c>
      <c r="D46" s="5">
        <v>0.1076</v>
      </c>
      <c r="E46" s="5">
        <v>0.1601</v>
      </c>
    </row>
    <row r="47" ht="15.15" spans="1:5">
      <c r="A47" s="4">
        <v>41548</v>
      </c>
      <c r="B47" s="5">
        <v>0.0687</v>
      </c>
      <c r="C47" s="5">
        <v>0.0687</v>
      </c>
      <c r="D47" s="5">
        <v>0.1076</v>
      </c>
      <c r="E47" s="5">
        <v>0.1313</v>
      </c>
    </row>
    <row r="48" ht="15.15" spans="1:5">
      <c r="A48" s="4">
        <v>41579</v>
      </c>
      <c r="B48" s="5">
        <v>0.012</v>
      </c>
      <c r="C48" s="5">
        <v>0.0687</v>
      </c>
      <c r="D48" s="5">
        <v>0.1076</v>
      </c>
      <c r="E48" s="5">
        <v>0.1076</v>
      </c>
    </row>
    <row r="49" ht="15.15" spans="1:5">
      <c r="A49" s="4">
        <v>41609</v>
      </c>
      <c r="B49" s="5">
        <v>0.0616</v>
      </c>
      <c r="C49" s="5">
        <v>0.0687</v>
      </c>
      <c r="D49" s="5">
        <v>0.0687</v>
      </c>
      <c r="E49" s="5">
        <v>0.1076</v>
      </c>
    </row>
    <row r="50" ht="15.15" spans="1:5">
      <c r="A50" s="4">
        <v>41640</v>
      </c>
      <c r="B50" s="5">
        <v>0.0086</v>
      </c>
      <c r="C50" s="5">
        <v>0.0616</v>
      </c>
      <c r="D50" s="5">
        <v>0.0687</v>
      </c>
      <c r="E50" s="5">
        <v>0.1076</v>
      </c>
    </row>
    <row r="51" ht="15.15" spans="1:5">
      <c r="A51" s="4">
        <v>41671</v>
      </c>
      <c r="B51" s="5">
        <v>0.0294</v>
      </c>
      <c r="C51" s="5">
        <v>0.0616</v>
      </c>
      <c r="D51" s="5">
        <v>0.0687</v>
      </c>
      <c r="E51" s="5">
        <v>0.1076</v>
      </c>
    </row>
    <row r="52" ht="15.15" spans="1:5">
      <c r="A52" s="4">
        <v>41699</v>
      </c>
      <c r="B52" s="5">
        <v>0.0318</v>
      </c>
      <c r="C52" s="5">
        <v>0.0318</v>
      </c>
      <c r="D52" s="5">
        <v>0.0687</v>
      </c>
      <c r="E52" s="5">
        <v>0.1076</v>
      </c>
    </row>
    <row r="53" ht="15.15" spans="1:5">
      <c r="A53" s="4">
        <v>41730</v>
      </c>
      <c r="B53" s="5">
        <v>0.011</v>
      </c>
      <c r="C53" s="5">
        <v>0.0318</v>
      </c>
      <c r="D53" s="5">
        <v>0.0616</v>
      </c>
      <c r="E53" s="5">
        <v>0.1076</v>
      </c>
    </row>
    <row r="54" ht="15.15" spans="1:5">
      <c r="A54" s="4">
        <v>41760</v>
      </c>
      <c r="B54" s="5">
        <v>0.0187</v>
      </c>
      <c r="C54" s="5">
        <v>0.0318</v>
      </c>
      <c r="D54" s="5">
        <v>0.0616</v>
      </c>
      <c r="E54" s="5">
        <v>0.1076</v>
      </c>
    </row>
    <row r="55" ht="15.15" spans="1:5">
      <c r="A55" s="4">
        <v>41791</v>
      </c>
      <c r="B55" s="5">
        <v>0.0172</v>
      </c>
      <c r="C55" s="5">
        <v>0.0187</v>
      </c>
      <c r="D55" s="5">
        <v>0.0318</v>
      </c>
      <c r="E55" s="5">
        <v>0.0687</v>
      </c>
    </row>
    <row r="56" ht="15.15" spans="1:5">
      <c r="A56" s="4">
        <v>41821</v>
      </c>
      <c r="B56" s="5">
        <v>0.0309</v>
      </c>
      <c r="C56" s="5">
        <v>0.0309</v>
      </c>
      <c r="D56" s="5">
        <v>0.0318</v>
      </c>
      <c r="E56" s="5">
        <v>0.0687</v>
      </c>
    </row>
    <row r="57" ht="15.15" spans="1:5">
      <c r="A57" s="4">
        <v>41852</v>
      </c>
      <c r="B57" s="5">
        <v>0.0482</v>
      </c>
      <c r="C57" s="5">
        <v>0.0482</v>
      </c>
      <c r="D57" s="5">
        <v>0.0482</v>
      </c>
      <c r="E57" s="5">
        <v>0.0687</v>
      </c>
    </row>
    <row r="58" ht="15.15" spans="1:5">
      <c r="A58" s="4">
        <v>41883</v>
      </c>
      <c r="B58" s="5">
        <v>0.0367</v>
      </c>
      <c r="C58" s="5">
        <v>0.0482</v>
      </c>
      <c r="D58" s="5">
        <v>0.0482</v>
      </c>
      <c r="E58" s="5">
        <v>0.0687</v>
      </c>
    </row>
    <row r="59" ht="15.15" spans="1:5">
      <c r="A59" s="4">
        <v>41913</v>
      </c>
      <c r="B59" s="5">
        <v>0.0489</v>
      </c>
      <c r="C59" s="5">
        <v>0.0489</v>
      </c>
      <c r="D59" s="5">
        <v>0.0489</v>
      </c>
      <c r="E59" s="5">
        <v>0.0616</v>
      </c>
    </row>
    <row r="60" ht="15.15" spans="1:5">
      <c r="A60" s="4">
        <v>41944</v>
      </c>
      <c r="B60" s="5">
        <v>0.032</v>
      </c>
      <c r="C60" s="5">
        <v>0.0489</v>
      </c>
      <c r="D60" s="5">
        <v>0.0489</v>
      </c>
      <c r="E60" s="5">
        <v>0.0616</v>
      </c>
    </row>
    <row r="61" ht="15.15" spans="1:5">
      <c r="A61" s="4">
        <v>41974</v>
      </c>
      <c r="B61" s="5">
        <v>0.1327</v>
      </c>
      <c r="C61" s="5">
        <v>0.1327</v>
      </c>
      <c r="D61" s="5">
        <v>0.1327</v>
      </c>
      <c r="E61" s="5">
        <v>0.1327</v>
      </c>
    </row>
    <row r="62" ht="15.15" spans="1:5">
      <c r="A62" s="4">
        <v>42005</v>
      </c>
      <c r="B62" s="5">
        <v>0.0299</v>
      </c>
      <c r="C62" s="5">
        <v>0.1327</v>
      </c>
      <c r="D62" s="5">
        <v>0.1327</v>
      </c>
      <c r="E62" s="5">
        <v>0.1327</v>
      </c>
    </row>
    <row r="63" ht="15.15" spans="1:5">
      <c r="A63" s="4">
        <v>42036</v>
      </c>
      <c r="B63" s="5">
        <v>0.0424</v>
      </c>
      <c r="C63" s="5">
        <v>0.1387</v>
      </c>
      <c r="D63" s="5">
        <v>0.1387</v>
      </c>
      <c r="E63" s="5">
        <v>0.1387</v>
      </c>
    </row>
    <row r="64" ht="15.15" spans="1:5">
      <c r="A64" s="4">
        <v>42064</v>
      </c>
      <c r="B64" s="5">
        <v>0.0153</v>
      </c>
      <c r="C64" s="5">
        <v>0.0684</v>
      </c>
      <c r="D64" s="5">
        <v>0.1387</v>
      </c>
      <c r="E64" s="5">
        <v>0.1387</v>
      </c>
    </row>
    <row r="65" ht="15.15" spans="1:5">
      <c r="A65" s="4">
        <v>42095</v>
      </c>
      <c r="B65" s="5">
        <v>0.0077</v>
      </c>
      <c r="C65" s="5">
        <v>0.0424</v>
      </c>
      <c r="D65" s="5">
        <v>0.1387</v>
      </c>
      <c r="E65" s="5">
        <v>0.1387</v>
      </c>
    </row>
    <row r="66" ht="15.15" spans="1:5">
      <c r="A66" s="4">
        <v>42125</v>
      </c>
      <c r="B66" s="5">
        <v>0.0599</v>
      </c>
      <c r="C66" s="5">
        <v>0.0672</v>
      </c>
      <c r="D66" s="5">
        <v>0.1387</v>
      </c>
      <c r="E66" s="5">
        <v>0.1387</v>
      </c>
    </row>
    <row r="67" ht="15.15" spans="1:5">
      <c r="A67" s="4">
        <v>42156</v>
      </c>
      <c r="B67" s="5">
        <v>0.2494</v>
      </c>
      <c r="C67" s="5">
        <v>0.2494</v>
      </c>
      <c r="D67" s="5">
        <v>0.2494</v>
      </c>
      <c r="E67" s="5">
        <v>0.2494</v>
      </c>
    </row>
    <row r="68" ht="15.15" spans="1:5">
      <c r="A68" s="4">
        <v>42186</v>
      </c>
      <c r="B68" s="5">
        <v>0.1164</v>
      </c>
      <c r="C68" s="5">
        <v>0.2494</v>
      </c>
      <c r="D68" s="5">
        <v>0.2494</v>
      </c>
      <c r="E68" s="5">
        <v>0.2494</v>
      </c>
    </row>
    <row r="69" ht="15.15" spans="1:5">
      <c r="A69" s="4">
        <v>42217</v>
      </c>
      <c r="B69" s="5">
        <v>0.1443</v>
      </c>
      <c r="C69" s="5">
        <v>0.2494</v>
      </c>
      <c r="D69" s="5">
        <v>0.2494</v>
      </c>
      <c r="E69" s="5">
        <v>0.2494</v>
      </c>
    </row>
    <row r="70" ht="15.15" spans="1:5">
      <c r="A70" s="4">
        <v>42248</v>
      </c>
      <c r="B70" s="5">
        <v>0.1039</v>
      </c>
      <c r="C70" s="5">
        <v>0.16</v>
      </c>
      <c r="D70" s="5">
        <v>0.2494</v>
      </c>
      <c r="E70" s="5">
        <v>0.2494</v>
      </c>
    </row>
    <row r="71" ht="15.15" spans="1:5">
      <c r="A71" s="4">
        <v>42278</v>
      </c>
      <c r="B71" s="5">
        <v>0.0716</v>
      </c>
      <c r="C71" s="5">
        <v>0.16</v>
      </c>
      <c r="D71" s="5">
        <v>0.2494</v>
      </c>
      <c r="E71" s="5">
        <v>0.2494</v>
      </c>
    </row>
    <row r="72" ht="15.15" spans="1:5">
      <c r="A72" s="4">
        <v>42309</v>
      </c>
      <c r="B72" s="5">
        <v>0.0828</v>
      </c>
      <c r="C72" s="5">
        <v>0.1039</v>
      </c>
      <c r="D72" s="5">
        <v>0.2494</v>
      </c>
      <c r="E72" s="5">
        <v>0.2494</v>
      </c>
    </row>
    <row r="73" ht="15.15" spans="1:5">
      <c r="A73" s="4">
        <v>42339</v>
      </c>
      <c r="B73" s="5">
        <v>0.0257</v>
      </c>
      <c r="C73" s="5">
        <v>0.0828</v>
      </c>
      <c r="D73" s="5">
        <v>0.16</v>
      </c>
      <c r="E73" s="5">
        <v>0.2494</v>
      </c>
    </row>
    <row r="74" ht="15.15" spans="1:5">
      <c r="A74" s="4">
        <v>42370</v>
      </c>
      <c r="B74" s="5">
        <v>0.0095</v>
      </c>
      <c r="C74" s="5">
        <v>0.0828</v>
      </c>
      <c r="D74" s="5">
        <v>0.16</v>
      </c>
      <c r="E74" s="5">
        <v>0.2494</v>
      </c>
    </row>
    <row r="75" ht="15.15" spans="1:5">
      <c r="A75" s="4">
        <v>42401</v>
      </c>
      <c r="B75" s="5">
        <v>0.1082</v>
      </c>
      <c r="C75" s="5">
        <v>0.1082</v>
      </c>
      <c r="D75" s="5">
        <v>0.1082</v>
      </c>
      <c r="E75" s="5">
        <v>0.2494</v>
      </c>
    </row>
    <row r="76" ht="15.15" spans="1:5">
      <c r="A76" s="4">
        <v>42430</v>
      </c>
      <c r="B76" s="5">
        <v>0.037</v>
      </c>
      <c r="C76" s="5">
        <v>0.1082</v>
      </c>
      <c r="D76" s="5">
        <v>0.1082</v>
      </c>
      <c r="E76" s="5">
        <v>0.2494</v>
      </c>
    </row>
    <row r="77" ht="15.15" spans="1:5">
      <c r="A77" s="4">
        <v>42461</v>
      </c>
      <c r="B77" s="5">
        <v>0.0043</v>
      </c>
      <c r="C77" s="5">
        <v>0.1082</v>
      </c>
      <c r="D77" s="5">
        <v>0.1082</v>
      </c>
      <c r="E77" s="5">
        <v>0.2494</v>
      </c>
    </row>
    <row r="78" ht="15.15" spans="1:5">
      <c r="A78" s="4">
        <v>42491</v>
      </c>
      <c r="B78" s="5">
        <v>0.1366</v>
      </c>
      <c r="C78" s="5">
        <v>0.1366</v>
      </c>
      <c r="D78" s="5">
        <v>0.1366</v>
      </c>
      <c r="E78" s="5">
        <v>0.2494</v>
      </c>
    </row>
    <row r="79" ht="15.15" spans="1:5">
      <c r="A79" s="4">
        <v>42522</v>
      </c>
      <c r="B79" s="5">
        <v>0.0703</v>
      </c>
      <c r="C79" s="5">
        <v>0.1366</v>
      </c>
      <c r="D79" s="5">
        <v>0.1366</v>
      </c>
      <c r="E79" s="5">
        <v>0.16</v>
      </c>
    </row>
    <row r="80" ht="15.15" spans="1:5">
      <c r="A80" s="4">
        <v>42552</v>
      </c>
      <c r="B80" s="5">
        <v>0.0473</v>
      </c>
      <c r="C80" s="5">
        <v>0.1366</v>
      </c>
      <c r="D80" s="5">
        <v>0.1366</v>
      </c>
      <c r="E80" s="5">
        <v>0.16</v>
      </c>
    </row>
    <row r="81" ht="15.15" spans="1:5">
      <c r="A81" s="4">
        <v>42583</v>
      </c>
      <c r="B81" s="5">
        <v>0.0168</v>
      </c>
      <c r="C81" s="5">
        <v>0.0703</v>
      </c>
      <c r="D81" s="5">
        <v>0.1366</v>
      </c>
      <c r="E81" s="5">
        <v>0.1366</v>
      </c>
    </row>
    <row r="82" ht="15.15" spans="1:5">
      <c r="A82" s="4">
        <v>42614</v>
      </c>
      <c r="B82" s="5">
        <v>0.0446</v>
      </c>
      <c r="C82" s="5">
        <v>0.0633</v>
      </c>
      <c r="D82" s="5">
        <v>0.1366</v>
      </c>
      <c r="E82" s="5">
        <v>0.1366</v>
      </c>
    </row>
    <row r="83" ht="15.15" spans="1:5">
      <c r="A83" s="4">
        <v>42644</v>
      </c>
      <c r="B83" s="5">
        <v>0.02</v>
      </c>
      <c r="C83" s="5">
        <v>0.0446</v>
      </c>
      <c r="D83" s="5">
        <v>0.1366</v>
      </c>
      <c r="E83" s="5">
        <v>0.1366</v>
      </c>
    </row>
    <row r="84" ht="15.15" spans="1:5">
      <c r="A84" s="4">
        <v>42675</v>
      </c>
      <c r="B84" s="5">
        <v>0.0537</v>
      </c>
      <c r="C84" s="5">
        <v>0.0537</v>
      </c>
      <c r="D84" s="5">
        <v>0.0703</v>
      </c>
      <c r="E84" s="5">
        <v>0.1366</v>
      </c>
    </row>
    <row r="85" ht="15.15" spans="1:5">
      <c r="A85" s="4">
        <v>42705</v>
      </c>
      <c r="B85" s="5">
        <v>0.071</v>
      </c>
      <c r="C85" s="5">
        <v>0.1119</v>
      </c>
      <c r="D85" s="5">
        <v>0.1119</v>
      </c>
      <c r="E85" s="5">
        <v>0.1366</v>
      </c>
    </row>
    <row r="86" ht="15.15" spans="1:5">
      <c r="A86" s="4">
        <v>42736</v>
      </c>
      <c r="B86" s="5">
        <v>0.001</v>
      </c>
      <c r="C86" s="5">
        <v>0.1119</v>
      </c>
      <c r="D86" s="5">
        <v>0.1119</v>
      </c>
      <c r="E86" s="5">
        <v>0.1366</v>
      </c>
    </row>
    <row r="87" ht="15.15" spans="1:5">
      <c r="A87" s="4">
        <v>42767</v>
      </c>
      <c r="B87" s="5">
        <v>0.0212</v>
      </c>
      <c r="C87" s="5">
        <v>0.071</v>
      </c>
      <c r="D87" s="5">
        <v>0.1119</v>
      </c>
      <c r="E87" s="5">
        <v>0.1366</v>
      </c>
    </row>
    <row r="88" ht="15.15" spans="1:5">
      <c r="A88" s="4">
        <v>42795</v>
      </c>
      <c r="B88" s="5">
        <v>0.0997</v>
      </c>
      <c r="C88" s="5">
        <v>0.0997</v>
      </c>
      <c r="D88" s="5">
        <v>0.1119</v>
      </c>
      <c r="E88" s="5">
        <v>0.1366</v>
      </c>
    </row>
    <row r="89" ht="15.15" spans="1:5">
      <c r="A89" s="4">
        <v>42826</v>
      </c>
      <c r="B89" s="5">
        <v>0.0108</v>
      </c>
      <c r="C89" s="5">
        <v>0.1011</v>
      </c>
      <c r="D89" s="5">
        <v>0.1119</v>
      </c>
      <c r="E89" s="5">
        <v>0.1366</v>
      </c>
    </row>
    <row r="90" ht="15.15" spans="1:5">
      <c r="A90" s="4">
        <v>42856</v>
      </c>
      <c r="B90" s="5">
        <v>0.0784</v>
      </c>
      <c r="C90" s="5">
        <v>0.1543</v>
      </c>
      <c r="D90" s="5">
        <v>0.1543</v>
      </c>
      <c r="E90" s="5">
        <v>0.1543</v>
      </c>
    </row>
    <row r="91" ht="15.15" spans="1:5">
      <c r="A91" s="4">
        <v>42887</v>
      </c>
      <c r="B91" s="5">
        <v>0.0358</v>
      </c>
      <c r="C91" s="5">
        <v>0.1011</v>
      </c>
      <c r="D91" s="5">
        <v>0.1751</v>
      </c>
      <c r="E91" s="5">
        <v>0.1751</v>
      </c>
    </row>
    <row r="92" ht="15.15" spans="1:5">
      <c r="A92" s="4">
        <v>42917</v>
      </c>
      <c r="B92" s="5">
        <v>0.0951</v>
      </c>
      <c r="C92" s="5">
        <v>0.1011</v>
      </c>
      <c r="D92" s="5">
        <v>0.1751</v>
      </c>
      <c r="E92" s="5">
        <v>0.1751</v>
      </c>
    </row>
    <row r="93" ht="15.15" spans="1:5">
      <c r="A93" s="4">
        <v>42948</v>
      </c>
      <c r="B93" s="5">
        <v>0.0242</v>
      </c>
      <c r="C93" s="5">
        <v>0.0951</v>
      </c>
      <c r="D93" s="5">
        <v>0.1751</v>
      </c>
      <c r="E93" s="5">
        <v>0.1751</v>
      </c>
    </row>
    <row r="94" ht="15.15" spans="1:5">
      <c r="A94" s="4">
        <v>42979</v>
      </c>
      <c r="B94" s="5">
        <v>0.0295</v>
      </c>
      <c r="C94" s="5">
        <v>0.0951</v>
      </c>
      <c r="D94" s="5">
        <v>0.1011</v>
      </c>
      <c r="E94" s="5">
        <v>0.1751</v>
      </c>
    </row>
    <row r="95" ht="15.15" spans="1:5">
      <c r="A95" s="4">
        <v>43009</v>
      </c>
      <c r="B95" s="5">
        <v>0.0566</v>
      </c>
      <c r="C95" s="5">
        <v>0.0566</v>
      </c>
      <c r="D95" s="5">
        <v>0.1011</v>
      </c>
      <c r="E95" s="5">
        <v>0.1751</v>
      </c>
    </row>
    <row r="96" ht="15.15" spans="1:5">
      <c r="A96" s="4">
        <v>43040</v>
      </c>
      <c r="B96" s="5">
        <v>0.1187</v>
      </c>
      <c r="C96" s="5">
        <v>0.1202</v>
      </c>
      <c r="D96" s="5">
        <v>0.1202</v>
      </c>
      <c r="E96" s="5">
        <v>0.1751</v>
      </c>
    </row>
    <row r="97" ht="15.15" spans="1:5">
      <c r="A97" s="4">
        <v>43070</v>
      </c>
      <c r="B97" s="5">
        <v>0.081</v>
      </c>
      <c r="C97" s="5">
        <v>0.1713</v>
      </c>
      <c r="D97" s="5">
        <v>0.1713</v>
      </c>
      <c r="E97" s="5">
        <v>0.1751</v>
      </c>
    </row>
    <row r="98" ht="15.15" spans="1:5">
      <c r="A98" s="4">
        <v>43101</v>
      </c>
      <c r="B98" s="5">
        <v>0.007</v>
      </c>
      <c r="C98" s="5">
        <v>0.1699</v>
      </c>
      <c r="D98" s="5">
        <v>0.1713</v>
      </c>
      <c r="E98" s="5">
        <v>0.1751</v>
      </c>
    </row>
    <row r="99" ht="15.15" spans="1:5">
      <c r="A99" s="4">
        <v>43132</v>
      </c>
      <c r="B99" s="5">
        <v>0.0639</v>
      </c>
      <c r="C99" s="5">
        <v>0.081</v>
      </c>
      <c r="D99" s="5">
        <v>0.1713</v>
      </c>
      <c r="E99" s="5">
        <v>0.1751</v>
      </c>
    </row>
    <row r="100" ht="15.15" spans="1:5">
      <c r="A100" s="4">
        <v>43160</v>
      </c>
      <c r="B100" s="5">
        <v>0.0653</v>
      </c>
      <c r="C100" s="5">
        <v>0.0682</v>
      </c>
      <c r="D100" s="5">
        <v>0.1713</v>
      </c>
      <c r="E100" s="5">
        <v>0.1713</v>
      </c>
    </row>
    <row r="101" ht="15.15" spans="1:5">
      <c r="A101" s="4">
        <v>43191</v>
      </c>
      <c r="B101" s="5">
        <v>0.0133</v>
      </c>
      <c r="C101" s="5">
        <v>0.0653</v>
      </c>
      <c r="D101" s="5">
        <v>0.1699</v>
      </c>
      <c r="E101" s="5">
        <v>0.1713</v>
      </c>
    </row>
    <row r="102" ht="15.15" spans="1:5">
      <c r="A102" s="4">
        <v>43221</v>
      </c>
      <c r="B102" s="5">
        <v>0.0966</v>
      </c>
      <c r="C102" s="5">
        <v>0.0966</v>
      </c>
      <c r="D102" s="5">
        <v>0.0966</v>
      </c>
      <c r="E102" s="5">
        <v>0.1713</v>
      </c>
    </row>
    <row r="103" ht="15.15" spans="1:5">
      <c r="A103" s="4">
        <v>43252</v>
      </c>
      <c r="B103" s="5">
        <v>0.1428</v>
      </c>
      <c r="C103" s="5">
        <v>0.2023</v>
      </c>
      <c r="D103" s="5">
        <v>0.2023</v>
      </c>
      <c r="E103" s="5">
        <v>0.2023</v>
      </c>
    </row>
    <row r="104" ht="15.15" spans="1:5">
      <c r="A104" s="4">
        <v>43282</v>
      </c>
      <c r="B104" s="5">
        <v>0.0344</v>
      </c>
      <c r="C104" s="5">
        <v>0.2023</v>
      </c>
      <c r="D104" s="5">
        <v>0.2023</v>
      </c>
      <c r="E104" s="5">
        <v>0.2023</v>
      </c>
    </row>
    <row r="105" ht="15.15" spans="1:5">
      <c r="A105" s="4">
        <v>43313</v>
      </c>
      <c r="B105" s="5">
        <v>0.108</v>
      </c>
      <c r="C105" s="5">
        <v>0.1428</v>
      </c>
      <c r="D105" s="5">
        <v>0.2023</v>
      </c>
      <c r="E105" s="5">
        <v>0.2023</v>
      </c>
    </row>
    <row r="106" ht="15.15" spans="1:5">
      <c r="A106" s="4">
        <v>43344</v>
      </c>
      <c r="B106" s="5">
        <v>0.0432</v>
      </c>
      <c r="C106" s="5">
        <v>0.1204</v>
      </c>
      <c r="D106" s="5">
        <v>0.2023</v>
      </c>
      <c r="E106" s="5">
        <v>0.2023</v>
      </c>
    </row>
    <row r="107" ht="15.15" spans="1:5">
      <c r="A107" s="4">
        <v>43374</v>
      </c>
      <c r="B107" s="5">
        <v>0.0953</v>
      </c>
      <c r="C107" s="5">
        <v>0.1571</v>
      </c>
      <c r="D107" s="5">
        <v>0.2023</v>
      </c>
      <c r="E107" s="5">
        <v>0.2023</v>
      </c>
    </row>
    <row r="108" ht="15.15" spans="1:5">
      <c r="A108" s="4">
        <v>43405</v>
      </c>
      <c r="B108" s="5">
        <v>0.107</v>
      </c>
      <c r="C108" s="5">
        <v>0.1292</v>
      </c>
      <c r="D108" s="5">
        <v>0.1689</v>
      </c>
      <c r="E108" s="5">
        <v>0.2023</v>
      </c>
    </row>
    <row r="109" ht="15.15" spans="1:5">
      <c r="A109" s="4">
        <v>43435</v>
      </c>
      <c r="B109" s="5">
        <v>0.0683</v>
      </c>
      <c r="C109" s="5">
        <v>0.1208</v>
      </c>
      <c r="D109" s="5">
        <v>0.1689</v>
      </c>
      <c r="E109" s="5">
        <v>0.2023</v>
      </c>
    </row>
    <row r="110" ht="15.15" spans="1:5">
      <c r="A110" s="4">
        <v>43466</v>
      </c>
      <c r="B110" s="5">
        <v>0.0054</v>
      </c>
      <c r="C110" s="5">
        <v>0.1208</v>
      </c>
      <c r="D110" s="5">
        <v>0.1571</v>
      </c>
      <c r="E110" s="5">
        <v>0.2023</v>
      </c>
    </row>
    <row r="111" ht="15.15" spans="1:5">
      <c r="A111" s="4">
        <v>43497</v>
      </c>
      <c r="B111" s="5">
        <v>0.0088</v>
      </c>
      <c r="C111" s="5">
        <v>0.0683</v>
      </c>
      <c r="D111" s="5">
        <v>0.1292</v>
      </c>
      <c r="E111" s="5">
        <v>0.2023</v>
      </c>
    </row>
    <row r="112" ht="15.15" spans="1:5">
      <c r="A112" s="4">
        <v>43525</v>
      </c>
      <c r="B112" s="5">
        <v>0.0675</v>
      </c>
      <c r="C112" s="5">
        <v>0.0675</v>
      </c>
      <c r="D112" s="5">
        <v>0.1208</v>
      </c>
      <c r="E112" s="5">
        <v>0.2023</v>
      </c>
    </row>
    <row r="113" ht="15.15" spans="1:5">
      <c r="A113" s="4">
        <v>43556</v>
      </c>
      <c r="B113" s="5">
        <v>0.0079</v>
      </c>
      <c r="C113" s="5">
        <v>0.0675</v>
      </c>
      <c r="D113" s="5">
        <v>0.1208</v>
      </c>
      <c r="E113" s="5">
        <v>0.2023</v>
      </c>
    </row>
    <row r="114" ht="15.15" spans="1:5">
      <c r="A114" s="4">
        <v>43586</v>
      </c>
      <c r="B114" s="5">
        <v>0.0453</v>
      </c>
      <c r="C114" s="5">
        <v>0.0675</v>
      </c>
      <c r="D114" s="5">
        <v>0.0683</v>
      </c>
      <c r="E114" s="5">
        <v>0.1689</v>
      </c>
    </row>
    <row r="115" ht="15.15" spans="1:5">
      <c r="A115" s="4">
        <v>43617</v>
      </c>
      <c r="B115" s="5">
        <v>0.0495</v>
      </c>
      <c r="C115" s="5">
        <v>0.0495</v>
      </c>
      <c r="D115" s="5">
        <v>0.0675</v>
      </c>
      <c r="E115" s="5">
        <v>0.1689</v>
      </c>
    </row>
    <row r="116" ht="15.15" spans="1:5">
      <c r="A116" s="4">
        <v>43647</v>
      </c>
      <c r="B116" s="5">
        <v>0.0659</v>
      </c>
      <c r="C116" s="5">
        <v>0.0659</v>
      </c>
      <c r="D116" s="5">
        <v>0.0675</v>
      </c>
      <c r="E116" s="5">
        <v>0.1571</v>
      </c>
    </row>
    <row r="117" ht="15.15" spans="1:5">
      <c r="A117" s="4">
        <v>43678</v>
      </c>
      <c r="B117" s="5">
        <v>0.0664</v>
      </c>
      <c r="C117" s="5">
        <v>0.0953</v>
      </c>
      <c r="D117" s="5">
        <v>0.0953</v>
      </c>
      <c r="E117" s="5">
        <v>0.1292</v>
      </c>
    </row>
    <row r="118" ht="15.15" spans="1:5">
      <c r="A118" s="4">
        <v>43709</v>
      </c>
      <c r="B118" s="5">
        <v>0.0583</v>
      </c>
      <c r="C118" s="5">
        <v>0.0953</v>
      </c>
      <c r="D118" s="5">
        <v>0.0953</v>
      </c>
      <c r="E118" s="5">
        <v>0.1208</v>
      </c>
    </row>
    <row r="119" ht="15.15" spans="1:5">
      <c r="A119" s="4">
        <v>43739</v>
      </c>
      <c r="B119" s="5">
        <v>0.067</v>
      </c>
      <c r="C119" s="5">
        <v>0.067</v>
      </c>
      <c r="D119" s="5">
        <v>0.0953</v>
      </c>
      <c r="E119" s="5">
        <v>0.1208</v>
      </c>
    </row>
    <row r="120" ht="15.15" spans="1:5">
      <c r="A120" s="4">
        <v>43770</v>
      </c>
      <c r="B120" s="5">
        <v>0.0453</v>
      </c>
      <c r="C120" s="5">
        <v>0.0966</v>
      </c>
      <c r="D120" s="5">
        <v>0.0966</v>
      </c>
      <c r="E120" s="5">
        <v>0.0966</v>
      </c>
    </row>
    <row r="121" ht="15.15" spans="1:5">
      <c r="A121" s="4">
        <v>43800</v>
      </c>
      <c r="B121" s="5">
        <v>0.0287</v>
      </c>
      <c r="C121" s="5">
        <v>0.0966</v>
      </c>
      <c r="D121" s="5">
        <v>0.0966</v>
      </c>
      <c r="E121" s="5">
        <v>0.0966</v>
      </c>
    </row>
    <row r="122" ht="15.15" spans="1:5">
      <c r="A122" s="4">
        <v>43831</v>
      </c>
      <c r="B122" s="5">
        <v>0.0017</v>
      </c>
      <c r="C122" s="5">
        <v>0.0453</v>
      </c>
      <c r="D122" s="5">
        <v>0.0966</v>
      </c>
      <c r="E122" s="5">
        <v>0.0966</v>
      </c>
    </row>
    <row r="123" ht="15.15" spans="1:5">
      <c r="A123" s="4">
        <v>43862</v>
      </c>
      <c r="B123" s="5">
        <v>0.0666</v>
      </c>
      <c r="C123" s="5">
        <v>0.0666</v>
      </c>
      <c r="D123" s="5">
        <v>0.0966</v>
      </c>
      <c r="E123" s="5">
        <v>0.0966</v>
      </c>
    </row>
    <row r="124" ht="15.15" spans="1:5">
      <c r="A124" s="4">
        <v>43891</v>
      </c>
      <c r="B124" s="5">
        <v>0.0552</v>
      </c>
      <c r="C124" s="5">
        <v>0.0666</v>
      </c>
      <c r="D124" s="5">
        <v>0.0966</v>
      </c>
      <c r="E124" s="5">
        <v>0.0966</v>
      </c>
    </row>
    <row r="125" ht="15.15" spans="1:5">
      <c r="A125" s="4">
        <v>43922</v>
      </c>
      <c r="B125" s="5">
        <v>0.0072</v>
      </c>
      <c r="C125" s="5">
        <v>0.0666</v>
      </c>
      <c r="D125" s="5">
        <v>0.0666</v>
      </c>
      <c r="E125" s="5">
        <v>0.0966</v>
      </c>
    </row>
    <row r="126" ht="15.15" spans="1:5">
      <c r="A126" s="4">
        <v>43952</v>
      </c>
      <c r="B126" s="5">
        <v>0.0406</v>
      </c>
      <c r="C126" s="5">
        <v>0.0565</v>
      </c>
      <c r="D126" s="5">
        <v>0.0666</v>
      </c>
      <c r="E126" s="5">
        <v>0.0966</v>
      </c>
    </row>
    <row r="127" ht="15.15" spans="1:5">
      <c r="A127" s="4">
        <v>43983</v>
      </c>
      <c r="B127" s="5">
        <v>0.0499</v>
      </c>
      <c r="C127" s="5">
        <v>0.0499</v>
      </c>
      <c r="D127" s="5">
        <v>0.0666</v>
      </c>
      <c r="E127" s="5">
        <v>0.0966</v>
      </c>
    </row>
    <row r="128" ht="15.15" spans="1:5">
      <c r="A128" s="4">
        <v>44013</v>
      </c>
      <c r="B128" s="5">
        <v>0.0488</v>
      </c>
      <c r="C128" s="5">
        <v>0.0499</v>
      </c>
      <c r="D128" s="5">
        <v>0.0666</v>
      </c>
      <c r="E128" s="5">
        <v>0.0966</v>
      </c>
    </row>
    <row r="129" ht="15.15" spans="1:5">
      <c r="A129" s="4">
        <v>44044</v>
      </c>
      <c r="B129" s="5">
        <v>0.0206</v>
      </c>
      <c r="C129" s="5">
        <v>0.0499</v>
      </c>
      <c r="D129" s="5">
        <v>0.0565</v>
      </c>
      <c r="E129" s="5">
        <v>0.0966</v>
      </c>
    </row>
    <row r="130" ht="15.15" spans="1:5">
      <c r="A130" s="4">
        <v>44075</v>
      </c>
      <c r="B130" s="5">
        <v>0.07</v>
      </c>
      <c r="C130" s="5">
        <v>0.07</v>
      </c>
      <c r="D130" s="5">
        <v>0.07</v>
      </c>
      <c r="E130" s="5">
        <v>0.0966</v>
      </c>
    </row>
    <row r="131" ht="15.15" spans="1:5">
      <c r="A131" s="4">
        <v>44105</v>
      </c>
      <c r="B131" s="5">
        <v>0.0453</v>
      </c>
      <c r="C131" s="5">
        <v>0.07</v>
      </c>
      <c r="D131" s="5">
        <v>0.07</v>
      </c>
      <c r="E131" s="5">
        <v>0.07</v>
      </c>
    </row>
    <row r="132" ht="15.15" spans="1:5">
      <c r="A132" s="4">
        <v>44136</v>
      </c>
      <c r="B132" s="5">
        <v>0.0197</v>
      </c>
      <c r="C132" s="5">
        <v>0.07</v>
      </c>
      <c r="D132" s="5">
        <v>0.07</v>
      </c>
      <c r="E132" s="5">
        <v>0.07</v>
      </c>
    </row>
    <row r="133" ht="15.15" spans="1:5">
      <c r="A133" s="4">
        <v>44166</v>
      </c>
      <c r="B133" s="5">
        <v>0.1566</v>
      </c>
      <c r="C133" s="5">
        <v>0.1566</v>
      </c>
      <c r="D133" s="5">
        <v>0.1566</v>
      </c>
      <c r="E133" s="5">
        <v>0.1566</v>
      </c>
    </row>
    <row r="134" ht="15.15" spans="1:5">
      <c r="A134" s="4">
        <v>44197</v>
      </c>
      <c r="B134" s="5">
        <v>0.0056</v>
      </c>
      <c r="C134" s="5">
        <v>0.1566</v>
      </c>
      <c r="D134" s="5">
        <v>0.1566</v>
      </c>
      <c r="E134" s="5">
        <v>0.1566</v>
      </c>
    </row>
    <row r="135" ht="15.15" spans="1:5">
      <c r="A135" s="4">
        <v>44228</v>
      </c>
      <c r="B135" s="5">
        <v>0.0579</v>
      </c>
      <c r="C135" s="5">
        <v>0.1773</v>
      </c>
      <c r="D135" s="5">
        <v>0.1773</v>
      </c>
      <c r="E135" s="5">
        <v>0.1773</v>
      </c>
    </row>
    <row r="136" ht="15.15" spans="1:5">
      <c r="A136" s="4">
        <v>44256</v>
      </c>
      <c r="B136" s="5">
        <v>0.032</v>
      </c>
      <c r="C136" s="5">
        <v>0.0603</v>
      </c>
      <c r="D136" s="5">
        <v>0.1773</v>
      </c>
      <c r="E136" s="5">
        <v>0.1773</v>
      </c>
    </row>
    <row r="137" ht="15.15" spans="1:5">
      <c r="A137" s="4">
        <v>44287</v>
      </c>
      <c r="B137" s="5">
        <v>0.0057</v>
      </c>
      <c r="C137" s="5">
        <v>0.0579</v>
      </c>
      <c r="D137" s="5">
        <v>0.1773</v>
      </c>
      <c r="E137" s="5">
        <v>0.1773</v>
      </c>
    </row>
    <row r="138" ht="15.15" spans="1:5">
      <c r="A138" s="4">
        <v>44317</v>
      </c>
      <c r="B138" s="5">
        <v>0.033</v>
      </c>
      <c r="C138" s="5">
        <v>0.033</v>
      </c>
      <c r="D138" s="5">
        <v>0.1773</v>
      </c>
      <c r="E138" s="5">
        <v>0.1773</v>
      </c>
    </row>
    <row r="139" ht="15.15" spans="1:5">
      <c r="A139" s="4">
        <v>44348</v>
      </c>
      <c r="B139" s="5">
        <v>0.0243</v>
      </c>
      <c r="C139" s="5">
        <v>0.033</v>
      </c>
      <c r="D139" s="5">
        <v>0.0603</v>
      </c>
      <c r="E139" s="5">
        <v>0.1773</v>
      </c>
    </row>
    <row r="140" ht="15.15" spans="1:5">
      <c r="A140" s="4">
        <v>44378</v>
      </c>
      <c r="B140" s="5">
        <v>0.104</v>
      </c>
      <c r="C140" s="5">
        <v>0.104</v>
      </c>
      <c r="D140" s="5">
        <v>0.104</v>
      </c>
      <c r="E140" s="5">
        <v>0.1773</v>
      </c>
    </row>
    <row r="141" ht="15.15" spans="1:5">
      <c r="A141" s="4">
        <v>44409</v>
      </c>
      <c r="B141" s="5">
        <v>0.0215</v>
      </c>
      <c r="C141" s="5">
        <v>0.104</v>
      </c>
      <c r="D141" s="5">
        <v>0.104</v>
      </c>
      <c r="E141" s="5">
        <v>0.1773</v>
      </c>
    </row>
    <row r="142" ht="15.15" spans="1:5">
      <c r="A142" s="4">
        <v>44440</v>
      </c>
      <c r="B142" s="5">
        <v>0.0974</v>
      </c>
      <c r="C142" s="5">
        <v>0.104</v>
      </c>
      <c r="D142" s="5">
        <v>0.104</v>
      </c>
      <c r="E142" s="5">
        <v>0.1773</v>
      </c>
    </row>
    <row r="143" ht="15.15" spans="1:5">
      <c r="A143" s="4">
        <v>44470</v>
      </c>
      <c r="B143" s="5">
        <v>0.1112</v>
      </c>
      <c r="C143" s="5">
        <v>0.1426</v>
      </c>
      <c r="D143" s="5">
        <v>0.1426</v>
      </c>
      <c r="E143" s="5">
        <v>0.1773</v>
      </c>
    </row>
    <row r="144" ht="15.15" spans="1:5">
      <c r="A144" s="4">
        <v>44501</v>
      </c>
      <c r="B144" s="5">
        <v>0.023</v>
      </c>
      <c r="C144" s="5">
        <v>0.1426</v>
      </c>
      <c r="D144" s="5">
        <v>0.1426</v>
      </c>
      <c r="E144" s="5">
        <v>0.1773</v>
      </c>
    </row>
    <row r="145" ht="15.15" spans="1:5">
      <c r="A145" s="4">
        <v>44531</v>
      </c>
      <c r="B145" s="5">
        <v>0.0497</v>
      </c>
      <c r="C145" s="5">
        <v>0.1112</v>
      </c>
      <c r="D145" s="5">
        <v>0.1426</v>
      </c>
      <c r="E145" s="5">
        <v>0.1426</v>
      </c>
    </row>
    <row r="146" ht="15.15" spans="1:5">
      <c r="A146" s="4">
        <v>44562</v>
      </c>
      <c r="B146" s="5">
        <v>0.0139</v>
      </c>
      <c r="C146" s="5">
        <v>0.0497</v>
      </c>
      <c r="D146" s="5">
        <v>0.1426</v>
      </c>
      <c r="E146" s="5">
        <v>0.1426</v>
      </c>
    </row>
    <row r="147" ht="15.15" spans="1:5">
      <c r="A147" s="4">
        <v>44593</v>
      </c>
      <c r="B147" s="5">
        <v>0.0446</v>
      </c>
      <c r="C147" s="5">
        <v>0.0497</v>
      </c>
      <c r="D147" s="5">
        <v>0.1426</v>
      </c>
      <c r="E147" s="5">
        <v>0.1426</v>
      </c>
    </row>
    <row r="148" ht="15.15" spans="1:5">
      <c r="A148" s="4">
        <v>44621</v>
      </c>
      <c r="B148" s="5">
        <v>0.0879</v>
      </c>
      <c r="C148" s="5">
        <v>0.0879</v>
      </c>
      <c r="D148" s="5">
        <v>0.1112</v>
      </c>
      <c r="E148" s="5">
        <v>0.1426</v>
      </c>
    </row>
    <row r="149" ht="15.15" spans="1:5">
      <c r="A149" s="4">
        <v>44652</v>
      </c>
      <c r="B149" s="5">
        <v>0.024</v>
      </c>
      <c r="C149" s="5">
        <v>0.0879</v>
      </c>
      <c r="D149" s="5">
        <v>0.0879</v>
      </c>
      <c r="E149" s="5">
        <v>0.1426</v>
      </c>
    </row>
    <row r="150" ht="15.15" spans="1:5">
      <c r="A150" s="4">
        <v>44682</v>
      </c>
      <c r="B150" s="5">
        <v>0.0187</v>
      </c>
      <c r="C150" s="5">
        <v>0.0879</v>
      </c>
      <c r="D150" s="5">
        <v>0.0879</v>
      </c>
      <c r="E150" s="5">
        <v>0.1426</v>
      </c>
    </row>
    <row r="151" ht="15.15" spans="1:5">
      <c r="A151" s="4">
        <v>44713</v>
      </c>
      <c r="B151" s="5">
        <v>0.058</v>
      </c>
      <c r="C151" s="5">
        <v>0.058</v>
      </c>
      <c r="D151" s="5">
        <v>0.0879</v>
      </c>
      <c r="E151" s="5">
        <v>0.1426</v>
      </c>
    </row>
    <row r="152" ht="15.15" spans="1:5">
      <c r="A152" s="4">
        <v>44743</v>
      </c>
      <c r="B152" s="5">
        <v>0.0316</v>
      </c>
      <c r="C152" s="5">
        <v>0.0877</v>
      </c>
      <c r="D152" s="5">
        <v>0.0879</v>
      </c>
      <c r="E152" s="5">
        <v>0.1426</v>
      </c>
    </row>
    <row r="153" ht="15.15" spans="1:5">
      <c r="A153" s="4">
        <v>44774</v>
      </c>
      <c r="B153" s="5">
        <v>0.0366</v>
      </c>
      <c r="C153" s="5">
        <v>0.0877</v>
      </c>
      <c r="D153" s="5">
        <v>0.0879</v>
      </c>
      <c r="E153" s="5">
        <v>0.1426</v>
      </c>
    </row>
    <row r="154" ht="15.15" spans="1:5">
      <c r="A154" s="4">
        <v>44805</v>
      </c>
      <c r="B154" s="5">
        <v>0.0712</v>
      </c>
      <c r="C154" s="5">
        <v>0.0712</v>
      </c>
      <c r="D154" s="5">
        <v>0.0877</v>
      </c>
      <c r="E154" s="5">
        <v>0.1112</v>
      </c>
    </row>
    <row r="155" ht="15.15" spans="1:5">
      <c r="A155" s="4">
        <v>44835</v>
      </c>
      <c r="B155" s="5">
        <v>0.0298</v>
      </c>
      <c r="C155" s="5">
        <v>0.0712</v>
      </c>
      <c r="D155" s="5">
        <v>0.0877</v>
      </c>
      <c r="E155" s="5">
        <v>0.0879</v>
      </c>
    </row>
    <row r="156" ht="15.15" spans="1:5">
      <c r="A156" s="4">
        <v>44866</v>
      </c>
      <c r="B156" s="5">
        <v>0.0425</v>
      </c>
      <c r="C156" s="5">
        <v>0.0712</v>
      </c>
      <c r="D156" s="5">
        <v>0.0877</v>
      </c>
      <c r="E156" s="5">
        <v>0.0879</v>
      </c>
    </row>
    <row r="157" ht="15.15" spans="1:5">
      <c r="A157" s="4">
        <v>44896</v>
      </c>
      <c r="B157" s="5">
        <v>0.0651</v>
      </c>
      <c r="C157" s="5">
        <v>0.0651</v>
      </c>
      <c r="D157" s="5">
        <v>0.0712</v>
      </c>
      <c r="E157" s="5">
        <v>0.0879</v>
      </c>
    </row>
    <row r="158" ht="15.15" spans="1:5">
      <c r="A158" s="4">
        <v>44927</v>
      </c>
      <c r="B158" s="5">
        <v>0.0037</v>
      </c>
      <c r="C158" s="5">
        <v>0.0651</v>
      </c>
      <c r="D158" s="5">
        <v>0.0712</v>
      </c>
      <c r="E158" s="5">
        <v>0.0879</v>
      </c>
    </row>
    <row r="159" ht="15.15" spans="1:5">
      <c r="A159" s="4">
        <v>44958</v>
      </c>
      <c r="B159" s="5">
        <v>0.035</v>
      </c>
      <c r="C159" s="5">
        <v>0.0651</v>
      </c>
      <c r="D159" s="5">
        <v>0.0712</v>
      </c>
      <c r="E159" s="5">
        <v>0.0879</v>
      </c>
    </row>
    <row r="160" ht="15.15" spans="1:5">
      <c r="A160" s="4">
        <v>44986</v>
      </c>
      <c r="B160" s="5">
        <v>0.0489</v>
      </c>
      <c r="C160" s="5">
        <v>0.0489</v>
      </c>
      <c r="D160" s="5">
        <v>0.0651</v>
      </c>
      <c r="E160" s="5">
        <v>0.0877</v>
      </c>
    </row>
    <row r="161" ht="15.15" spans="1:5">
      <c r="A161" s="4">
        <v>45017</v>
      </c>
      <c r="B161" s="5">
        <v>0.0021</v>
      </c>
      <c r="C161" s="5">
        <v>0.0489</v>
      </c>
      <c r="D161" s="5">
        <v>0.0651</v>
      </c>
      <c r="E161" s="5">
        <v>0.0877</v>
      </c>
    </row>
    <row r="162" ht="15.15" spans="1:5">
      <c r="A162" s="4">
        <v>45047</v>
      </c>
      <c r="B162" s="5">
        <v>0.0367</v>
      </c>
      <c r="C162" s="5">
        <v>0.0489</v>
      </c>
      <c r="D162" s="5">
        <v>0.0651</v>
      </c>
      <c r="E162" s="5">
        <v>0.0877</v>
      </c>
    </row>
    <row r="163" ht="15.15" spans="1:5">
      <c r="A163" s="4">
        <v>45078</v>
      </c>
      <c r="B163" s="5">
        <v>0.0413</v>
      </c>
      <c r="C163" s="5">
        <v>0.0619</v>
      </c>
      <c r="D163" s="5">
        <v>0.0619</v>
      </c>
      <c r="E163" s="5">
        <v>0.0712</v>
      </c>
    </row>
    <row r="164" ht="15.15" spans="1:5">
      <c r="A164" s="4">
        <v>45108</v>
      </c>
      <c r="B164" s="5">
        <v>0.0142</v>
      </c>
      <c r="C164" s="5">
        <v>0.0619</v>
      </c>
      <c r="D164" s="5">
        <v>0.0619</v>
      </c>
      <c r="E164" s="5">
        <v>0.0712</v>
      </c>
    </row>
    <row r="165" ht="15.15" spans="1:5">
      <c r="A165" s="4">
        <v>45139</v>
      </c>
      <c r="B165" s="5">
        <v>0.0747</v>
      </c>
      <c r="C165" s="5">
        <v>0.0747</v>
      </c>
      <c r="D165" s="5">
        <v>0.0747</v>
      </c>
      <c r="E165" s="5">
        <v>0.0747</v>
      </c>
    </row>
    <row r="166" ht="15.15" spans="1:5">
      <c r="A166" s="4">
        <v>45170</v>
      </c>
      <c r="B166" s="5">
        <v>0.0353</v>
      </c>
      <c r="C166" s="5">
        <v>0.0747</v>
      </c>
      <c r="D166" s="5">
        <v>0.0747</v>
      </c>
      <c r="E166" s="5">
        <v>0.0747</v>
      </c>
    </row>
    <row r="167" ht="15.15" spans="1:5">
      <c r="A167" s="4">
        <v>45200</v>
      </c>
      <c r="B167" s="5">
        <v>0.0533</v>
      </c>
      <c r="C167" s="5">
        <v>0.0747</v>
      </c>
      <c r="D167" s="5">
        <v>0.0747</v>
      </c>
      <c r="E167" s="5">
        <v>0.0747</v>
      </c>
    </row>
    <row r="168" ht="15.15" spans="1:5">
      <c r="A168" s="4">
        <v>45231</v>
      </c>
      <c r="B168" s="5">
        <v>0.0103</v>
      </c>
      <c r="C168" s="5">
        <v>0.0585</v>
      </c>
      <c r="D168" s="5">
        <v>0.0747</v>
      </c>
      <c r="E168" s="5">
        <v>0.0747</v>
      </c>
    </row>
    <row r="169" ht="15.15" spans="1:5">
      <c r="A169" s="4">
        <v>45261</v>
      </c>
      <c r="B169" s="5">
        <v>0.0595</v>
      </c>
      <c r="C169" s="5">
        <v>0.0595</v>
      </c>
      <c r="D169" s="5">
        <v>0.0747</v>
      </c>
      <c r="E169" s="5">
        <v>0.0747</v>
      </c>
    </row>
    <row r="170" ht="15.15" spans="1:5">
      <c r="A170" s="4">
        <v>45292</v>
      </c>
      <c r="B170" s="5">
        <v>0.0058</v>
      </c>
      <c r="C170" s="5">
        <v>0.0595</v>
      </c>
      <c r="D170" s="5">
        <v>0.0747</v>
      </c>
      <c r="E170" s="5">
        <v>0.0747</v>
      </c>
    </row>
    <row r="171" ht="15.15" spans="1:5">
      <c r="A171" s="4">
        <v>45323</v>
      </c>
      <c r="B171" s="5">
        <v>0.094</v>
      </c>
      <c r="C171" s="5">
        <v>0.094</v>
      </c>
      <c r="D171" s="5">
        <v>0.094</v>
      </c>
      <c r="E171" s="5">
        <v>0.094</v>
      </c>
    </row>
    <row r="172" ht="15.15" spans="1:5">
      <c r="A172" s="4">
        <v>45352</v>
      </c>
      <c r="B172" s="5">
        <v>0.0752</v>
      </c>
      <c r="C172" s="5">
        <v>0.094</v>
      </c>
      <c r="D172" s="5">
        <v>0.094</v>
      </c>
      <c r="E172" s="5">
        <v>0.094</v>
      </c>
    </row>
    <row r="173" ht="15.15" spans="1:5">
      <c r="A173" s="4">
        <v>45383</v>
      </c>
      <c r="B173" s="5">
        <v>0.0159</v>
      </c>
      <c r="C173" s="5">
        <v>0.094</v>
      </c>
      <c r="D173" s="5">
        <v>0.094</v>
      </c>
      <c r="E173" s="5">
        <v>0.094</v>
      </c>
    </row>
    <row r="174" ht="15.15" spans="1:5">
      <c r="A174" s="4">
        <v>45413</v>
      </c>
      <c r="B174" s="5">
        <v>0.054</v>
      </c>
      <c r="C174" s="5">
        <v>0.0752</v>
      </c>
      <c r="D174" s="5">
        <v>0.094</v>
      </c>
      <c r="E174" s="5">
        <v>0.094</v>
      </c>
    </row>
    <row r="175" ht="15.15" spans="1:5">
      <c r="A175" s="4">
        <v>45444</v>
      </c>
      <c r="B175" s="5">
        <v>0.1497</v>
      </c>
      <c r="C175" s="5">
        <v>0.1914</v>
      </c>
      <c r="D175" s="5">
        <v>0.1914</v>
      </c>
      <c r="E175" s="5">
        <v>0.1914</v>
      </c>
    </row>
    <row r="176" ht="15.15" spans="1:5">
      <c r="A176" s="4">
        <v>45474</v>
      </c>
      <c r="B176" s="5">
        <v>0.0681</v>
      </c>
      <c r="C176" s="5">
        <v>0.1914</v>
      </c>
      <c r="D176" s="5">
        <v>0.1914</v>
      </c>
      <c r="E176" s="5">
        <v>0.1914</v>
      </c>
    </row>
    <row r="177" ht="15.15" spans="1:5">
      <c r="A177" s="4">
        <v>45505</v>
      </c>
      <c r="B177" s="5">
        <v>0.0552</v>
      </c>
      <c r="C177" s="5">
        <v>0.1497</v>
      </c>
      <c r="D177" s="5">
        <v>0.1914</v>
      </c>
      <c r="E177" s="5">
        <v>0.1914</v>
      </c>
    </row>
    <row r="178" ht="15.15" spans="1:5">
      <c r="A178" s="4">
        <v>45536</v>
      </c>
      <c r="B178" s="5">
        <v>0.0447</v>
      </c>
      <c r="C178" s="5">
        <v>0.0681</v>
      </c>
      <c r="D178" s="5">
        <v>0.1914</v>
      </c>
      <c r="E178" s="5">
        <v>0.1914</v>
      </c>
    </row>
    <row r="179" ht="15.15" spans="1:5">
      <c r="A179" s="4">
        <v>45566</v>
      </c>
      <c r="B179" s="5">
        <v>0.0466</v>
      </c>
      <c r="C179" s="5">
        <v>0.0552</v>
      </c>
      <c r="D179" s="5">
        <v>0.1914</v>
      </c>
      <c r="E179" s="5">
        <v>0.1914</v>
      </c>
    </row>
    <row r="180" ht="15.15" spans="1:5">
      <c r="A180" s="4">
        <v>45597</v>
      </c>
      <c r="B180" s="5">
        <v>0.0893</v>
      </c>
      <c r="C180" s="5">
        <v>0.0893</v>
      </c>
      <c r="D180" s="5">
        <v>0.1497</v>
      </c>
      <c r="E180" s="5">
        <v>0.1914</v>
      </c>
    </row>
    <row r="181" ht="15.15" spans="1:5">
      <c r="A181" s="4">
        <v>45627</v>
      </c>
      <c r="B181" s="5">
        <v>0.1441</v>
      </c>
      <c r="C181" s="5">
        <v>0.1441</v>
      </c>
      <c r="D181" s="5">
        <v>0.1441</v>
      </c>
      <c r="E181" s="5">
        <v>0.1914</v>
      </c>
    </row>
    <row r="182" ht="15.15" spans="1:5">
      <c r="A182" s="4">
        <v>45658</v>
      </c>
      <c r="B182" s="5">
        <v>0.0399</v>
      </c>
      <c r="C182" s="5">
        <v>0.1441</v>
      </c>
      <c r="D182" s="5">
        <v>0.1441</v>
      </c>
      <c r="E182" s="5">
        <v>0.1914</v>
      </c>
    </row>
    <row r="183" ht="15.15" spans="1:5">
      <c r="A183" s="4">
        <v>45689</v>
      </c>
      <c r="B183" s="5">
        <v>0.0334</v>
      </c>
      <c r="C183" s="5">
        <v>0.1441</v>
      </c>
      <c r="D183" s="5">
        <v>0.1441</v>
      </c>
      <c r="E183" s="5">
        <v>0.1914</v>
      </c>
    </row>
    <row r="184" ht="15.15" spans="1:5">
      <c r="A184" s="4">
        <v>45717</v>
      </c>
      <c r="B184" s="5">
        <v>0.133</v>
      </c>
      <c r="C184" s="5">
        <v>0.133</v>
      </c>
      <c r="D184" s="5">
        <v>0.1441</v>
      </c>
      <c r="E184" s="5">
        <v>0.1914</v>
      </c>
    </row>
    <row r="185" ht="15.15" spans="1:5">
      <c r="A185" s="4">
        <v>45748</v>
      </c>
      <c r="B185" s="5">
        <v>0.0393</v>
      </c>
      <c r="C185" s="5">
        <v>0.1428</v>
      </c>
      <c r="D185" s="5">
        <v>0.1441</v>
      </c>
      <c r="E185" s="5">
        <v>0.1914</v>
      </c>
    </row>
    <row r="186" ht="15.15" spans="1:5">
      <c r="A186" s="4">
        <v>45778</v>
      </c>
      <c r="B186" s="5">
        <v>0.0459</v>
      </c>
      <c r="C186" s="5">
        <v>0.1428</v>
      </c>
      <c r="D186" s="5">
        <v>0.1441</v>
      </c>
      <c r="E186" s="5">
        <v>0.1497</v>
      </c>
    </row>
    <row r="187" ht="15.15" spans="1:5">
      <c r="A187" s="4">
        <v>45809</v>
      </c>
      <c r="B187" s="5">
        <v>0.0144</v>
      </c>
      <c r="C187" s="5">
        <v>0.0459</v>
      </c>
      <c r="D187" s="5">
        <v>0.1428</v>
      </c>
      <c r="E187" s="5">
        <v>0.1441</v>
      </c>
    </row>
    <row r="188" ht="15.15" spans="1:5">
      <c r="A188" s="4">
        <v>45839</v>
      </c>
      <c r="B188" s="5">
        <v>0.0366</v>
      </c>
      <c r="C188" s="5">
        <v>0.0459</v>
      </c>
      <c r="D188" s="5">
        <v>0.1428</v>
      </c>
      <c r="E188" s="5">
        <v>0.1441</v>
      </c>
    </row>
    <row r="189" ht="15.15" spans="1:5">
      <c r="A189" s="4">
        <v>45870</v>
      </c>
      <c r="B189" s="5">
        <v>0.0831</v>
      </c>
      <c r="C189" s="5">
        <v>0.0831</v>
      </c>
      <c r="D189" s="5">
        <v>0.1428</v>
      </c>
      <c r="E189" s="5">
        <v>0.1441</v>
      </c>
    </row>
    <row r="190" ht="15.15" spans="1:5">
      <c r="A190" s="4">
        <v>45901</v>
      </c>
      <c r="B190" s="5">
        <v>0.0481</v>
      </c>
      <c r="C190" s="5">
        <v>0.0981</v>
      </c>
      <c r="D190" s="5">
        <v>0.0981</v>
      </c>
      <c r="E190" s="5">
        <v>0.1441</v>
      </c>
    </row>
    <row r="191" ht="15.15" spans="1:5">
      <c r="A191" s="4">
        <v>45931</v>
      </c>
      <c r="B191" s="5">
        <v>0.0337</v>
      </c>
      <c r="C191" s="5">
        <v>0.0981</v>
      </c>
      <c r="D191" s="5">
        <v>0.0981</v>
      </c>
      <c r="E191" s="5">
        <v>0.1441</v>
      </c>
    </row>
    <row r="192" ht="15.15" spans="1:5">
      <c r="A192" s="4">
        <v>45962</v>
      </c>
      <c r="B192" s="5">
        <v>0.1029</v>
      </c>
      <c r="C192" s="5">
        <v>0.1029</v>
      </c>
      <c r="D192" s="5">
        <v>0.1029</v>
      </c>
      <c r="E192" s="5">
        <v>0.1441</v>
      </c>
    </row>
    <row r="193" ht="15.15" spans="1:6">
      <c r="A193" s="4">
        <v>45992</v>
      </c>
      <c r="B193" s="5">
        <v>0.0974</v>
      </c>
      <c r="C193" s="5">
        <v>0.1377</v>
      </c>
      <c r="D193" s="5">
        <v>0.1377</v>
      </c>
      <c r="E193" s="5">
        <v>0.1428</v>
      </c>
    </row>
    <row r="194" ht="15.15" spans="1:6">
      <c r="A194" s="4">
        <v>46023</v>
      </c>
      <c r="B194" s="5">
        <v>0.0207</v>
      </c>
      <c r="C194" s="5">
        <v>0.1377</v>
      </c>
      <c r="D194" s="5">
        <v>0.1377</v>
      </c>
      <c r="E194" s="5">
        <v>0.1428</v>
      </c>
    </row>
    <row r="195" ht="15.15" spans="1:6">
      <c r="A195" s="6">
        <v>46054</v>
      </c>
      <c r="B195" s="7">
        <v>0.0264</v>
      </c>
      <c r="C195" s="7">
        <v>0.0974</v>
      </c>
      <c r="D195" s="7">
        <v>0.1377</v>
      </c>
      <c r="E195" s="7">
        <v>0.1428</v>
      </c>
    </row>
    <row r="196" ht="15.15" spans="1:6">
      <c r="A196" s="4">
        <v>46082</v>
      </c>
      <c r="B196" s="5">
        <v>0.1353</v>
      </c>
      <c r="C196" s="5">
        <v>0.1526</v>
      </c>
      <c r="D196" s="5">
        <v>0.2088</v>
      </c>
      <c r="E196" s="5">
        <v>0.2088</v>
      </c>
    </row>
    <row r="197" ht="15.15" spans="1:6">
      <c r="A197" s="4">
        <v>46113</v>
      </c>
      <c r="B197" s="5">
        <v>0.0074</v>
      </c>
      <c r="C197" s="5">
        <v>0.1443</v>
      </c>
      <c r="D197" s="5">
        <v>0.2097</v>
      </c>
      <c r="E197" s="5">
        <v>0.2097</v>
      </c>
    </row>
    <row r="198" ht="15.15" spans="1:6">
      <c r="A198" s="4">
        <v>46143</v>
      </c>
      <c r="B198" s="5">
        <v>0.1125</v>
      </c>
      <c r="C198" s="5">
        <v>0.2004</v>
      </c>
      <c r="D198" s="5">
        <v>0.2342</v>
      </c>
      <c r="E198" s="5">
        <v>0.2684</v>
      </c>
    </row>
    <row r="199" ht="15.15" spans="1:6">
      <c r="A199" s="4">
        <v>46174</v>
      </c>
      <c r="B199" s="5">
        <v>0.0991</v>
      </c>
      <c r="C199" s="5">
        <v>0.188</v>
      </c>
      <c r="D199" s="5">
        <v>0.2831</v>
      </c>
      <c r="E199" s="5">
        <v>0.3307</v>
      </c>
    </row>
    <row r="200" ht="15.15" spans="1:6">
      <c r="A200" s="4">
        <v>46204</v>
      </c>
      <c r="B200" s="5">
        <v>0.1026</v>
      </c>
      <c r="C200" s="5">
        <v>0.2442</v>
      </c>
      <c r="D200" s="5">
        <v>0.3254</v>
      </c>
      <c r="E200" s="5">
        <v>0.377</v>
      </c>
    </row>
    <row r="201" spans="1:6">
      <c r="A201" s="4">
        <v>46235</v>
      </c>
      <c r="B201" s="5">
        <v>0.0203</v>
      </c>
      <c r="C201" s="5">
        <v>0.1614</v>
      </c>
      <c r="D201" s="5">
        <v>0.319</v>
      </c>
      <c r="E201" s="5">
        <v>0.377</v>
      </c>
    </row>
    <row r="202" spans="1:6">
      <c r="B202" s="3">
        <f>AVERAGE(B2:B201)</f>
        <v>0.0545785</v>
      </c>
      <c r="C202" s="3">
        <f>AVERAGE(C2:C201)</f>
        <v>0.100612121212121</v>
      </c>
      <c r="D202" s="3">
        <f>AVERAGE(D2:D201)</f>
        <v>0.133240512820513</v>
      </c>
      <c r="E202" s="3">
        <f>AVERAGE(E2:E201)</f>
        <v>0.16573544973545</v>
      </c>
      <c r="F202">
        <v>0.4021</v>
      </c>
    </row>
    <row r="203" spans="1:6">
      <c r="F203">
        <f>0.4*F202+0.2*E202+0.2*D202+0.1*C202+0.1*B202</f>
        <v>0.236154254632405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K18" sqref="K18"/>
    </sheetView>
  </sheetViews>
  <sheetFormatPr defaultColWidth="8.88888888888889" defaultRowHeight="14.4" outlineLevelCol="4"/>
  <cols>
    <col min="1" max="1" width="18.6666666666667" customWidth="1"/>
    <col min="2" max="3" width="12.8888888888889"/>
    <col min="4" max="4" width="7.44444444444444" customWidth="1"/>
    <col min="5" max="5" width="12.8888888888889" style="1"/>
  </cols>
  <sheetData>
    <row r="1" spans="1:5">
      <c r="B1" t="s">
        <v>1</v>
      </c>
    </row>
    <row r="2" spans="1:5">
      <c r="A2" t="s">
        <v>2</v>
      </c>
      <c r="B2">
        <v>0.143162518896669</v>
      </c>
      <c r="C2">
        <f>1/B2</f>
        <v>6.98506849213636</v>
      </c>
      <c r="D2" s="2">
        <f>C2/$C6</f>
        <v>0.153058600043173</v>
      </c>
      <c r="E2" s="1">
        <f>A$25*D2</f>
        <v>91835.1600259041</v>
      </c>
    </row>
    <row r="3" spans="1:5">
      <c r="A3" t="s">
        <v>3</v>
      </c>
      <c r="B3">
        <v>0.0352034723041808</v>
      </c>
      <c r="C3">
        <f>1/B3</f>
        <v>28.4062887705892</v>
      </c>
      <c r="D3" s="2">
        <f>C3/$C$6</f>
        <v>0.622445835218823</v>
      </c>
      <c r="E3" s="1">
        <f>A$25*D3</f>
        <v>373467.501131294</v>
      </c>
    </row>
    <row r="4" spans="1:5">
      <c r="A4" t="s">
        <v>4</v>
      </c>
      <c r="B4">
        <v>0.166370369583123</v>
      </c>
      <c r="C4">
        <f>1/B4</f>
        <v>6.01068569184353</v>
      </c>
      <c r="D4" s="2">
        <f>C4/$C$6</f>
        <v>0.131707675927417</v>
      </c>
      <c r="E4" s="1">
        <f>A$25*D4</f>
        <v>79024.60555645</v>
      </c>
    </row>
    <row r="5" spans="1:5">
      <c r="A5" t="s">
        <v>5</v>
      </c>
      <c r="B5">
        <v>0.236154254632405</v>
      </c>
      <c r="C5">
        <f>1/B5</f>
        <v>4.23452036278825</v>
      </c>
      <c r="D5" s="2">
        <f>C5/$C$6</f>
        <v>0.0927878888105867</v>
      </c>
      <c r="E5" s="1">
        <f>A$25*D5</f>
        <v>55672.733286352</v>
      </c>
    </row>
    <row r="6" spans="1:5">
      <c r="C6">
        <f>SUM(C2:C5)</f>
        <v>45.6365633173574</v>
      </c>
    </row>
    <row r="9" spans="1:5">
      <c r="B9" t="s">
        <v>6</v>
      </c>
    </row>
    <row r="10" spans="1:5">
      <c r="A10" t="s">
        <v>2</v>
      </c>
      <c r="B10">
        <v>0.124</v>
      </c>
      <c r="C10">
        <f>1/B10</f>
        <v>8.06451612903226</v>
      </c>
      <c r="D10" s="2">
        <f>C10/$C$14</f>
        <v>0.202401504168994</v>
      </c>
      <c r="E10" s="1">
        <f t="shared" ref="E10:E13" si="0">A$25*D10</f>
        <v>121440.902501396</v>
      </c>
    </row>
    <row r="11" spans="1:5">
      <c r="A11" t="s">
        <v>3</v>
      </c>
      <c r="B11">
        <v>0.04</v>
      </c>
      <c r="C11">
        <f t="shared" ref="C10:C13" si="1">1/B11</f>
        <v>25</v>
      </c>
      <c r="D11" s="2">
        <f>C11/$C$14</f>
        <v>0.627444662923882</v>
      </c>
      <c r="E11" s="1">
        <f t="shared" si="0"/>
        <v>376466.797754329</v>
      </c>
    </row>
    <row r="12" spans="1:5">
      <c r="A12" t="s">
        <v>4</v>
      </c>
      <c r="B12">
        <v>0.2423</v>
      </c>
      <c r="C12">
        <f t="shared" si="1"/>
        <v>4.12711514651259</v>
      </c>
      <c r="D12" s="2">
        <f>C12/$C$14</f>
        <v>0.103581454878065</v>
      </c>
      <c r="E12" s="1">
        <f t="shared" si="0"/>
        <v>62148.8729268393</v>
      </c>
    </row>
    <row r="13" spans="1:5">
      <c r="A13" t="s">
        <v>5</v>
      </c>
      <c r="B13">
        <v>0.377</v>
      </c>
      <c r="C13">
        <f t="shared" si="1"/>
        <v>2.6525198938992</v>
      </c>
      <c r="D13" s="2">
        <f>C13/$C$14</f>
        <v>0.066572378029059</v>
      </c>
      <c r="E13" s="1">
        <f t="shared" si="0"/>
        <v>39943.4268174354</v>
      </c>
    </row>
    <row r="14" spans="1:5">
      <c r="C14">
        <f>SUM(C10:C13)</f>
        <v>39.844151169444</v>
      </c>
    </row>
    <row r="17" spans="1:5">
      <c r="B17" t="s">
        <v>7</v>
      </c>
    </row>
    <row r="18" spans="1:5">
      <c r="A18" t="s">
        <v>2</v>
      </c>
      <c r="B18" s="3">
        <v>0.2218</v>
      </c>
      <c r="C18">
        <f t="shared" ref="C18:C21" si="2">1/B18</f>
        <v>4.50856627592426</v>
      </c>
      <c r="D18" s="2">
        <f>C18/$C$22</f>
        <v>0.140703067692484</v>
      </c>
      <c r="E18" s="1">
        <f t="shared" ref="E18:E21" si="3">A$25*D18</f>
        <v>84421.8406154905</v>
      </c>
    </row>
    <row r="19" spans="1:5">
      <c r="A19" t="s">
        <v>3</v>
      </c>
      <c r="B19">
        <v>0.0478</v>
      </c>
      <c r="C19">
        <f t="shared" si="2"/>
        <v>20.9205020920502</v>
      </c>
      <c r="D19" s="2">
        <f>C19/$C$22</f>
        <v>0.652885782723702</v>
      </c>
      <c r="E19" s="1">
        <f t="shared" si="3"/>
        <v>391731.469634221</v>
      </c>
    </row>
    <row r="20" spans="1:5">
      <c r="A20" t="s">
        <v>4</v>
      </c>
      <c r="B20">
        <v>0.2423</v>
      </c>
      <c r="C20">
        <f t="shared" si="2"/>
        <v>4.12711514651259</v>
      </c>
      <c r="D20" s="2">
        <f>C20/$C$22</f>
        <v>0.128798763574878</v>
      </c>
      <c r="E20" s="1">
        <f t="shared" si="3"/>
        <v>77279.2581449269</v>
      </c>
    </row>
    <row r="21" spans="1:5">
      <c r="A21" t="s">
        <v>5</v>
      </c>
      <c r="B21">
        <v>0.4021</v>
      </c>
      <c r="C21">
        <f t="shared" si="2"/>
        <v>2.4869435463815</v>
      </c>
      <c r="D21" s="2">
        <f>C21/$C$22</f>
        <v>0.0776123860089355</v>
      </c>
      <c r="E21" s="1">
        <f t="shared" si="3"/>
        <v>46567.4316053613</v>
      </c>
    </row>
    <row r="22" spans="1:5">
      <c r="C22">
        <f>SUM(C18:C21)</f>
        <v>32.0431270608685</v>
      </c>
    </row>
    <row r="25" spans="1:5">
      <c r="A25">
        <v>600000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all_weather</vt:lpstr>
      <vt:lpstr>all_weather_bond</vt:lpstr>
      <vt:lpstr>ETF轮动</vt:lpstr>
      <vt:lpstr>small_cap</vt:lpstr>
      <vt:lpstr>仓位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86152</dc:creator>
  <cp:lastModifiedBy>赵敏捷</cp:lastModifiedBy>
  <dcterms:created xsi:type="dcterms:W3CDTF">2026-09-15T01:53:23Z</dcterms:created>
  <dcterms:modified xsi:type="dcterms:W3CDTF">2026-09-15T04:40:45Z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FADA906F89A94390AAC9F3F2E6F7466D_11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